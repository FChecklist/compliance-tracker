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816d55c7ccee4e1/Desktop/SMDID/Trace PMS/"/>
    </mc:Choice>
  </mc:AlternateContent>
  <xr:revisionPtr revIDLastSave="158" documentId="8_{281862A1-17BE-4FC6-9098-324FF3E3F9A4}" xr6:coauthVersionLast="47" xr6:coauthVersionMax="47" xr10:uidLastSave="{16C45694-AFC5-403D-84C1-1BA4DA0144DD}"/>
  <bookViews>
    <workbookView xWindow="-120" yWindow="-120" windowWidth="29040" windowHeight="15720" xr2:uid="{E946AE9D-91FC-43DA-93B0-BA03F81E526F}"/>
  </bookViews>
  <sheets>
    <sheet name="Scope with Sub Task" sheetId="1" r:id="rId1"/>
    <sheet name="Daily Progress w Pic Report" sheetId="2" r:id="rId2"/>
    <sheet name="Work Progress Report" sheetId="3" r:id="rId3"/>
  </sheets>
  <definedNames>
    <definedName name="_xlnm._FilterDatabase" localSheetId="1" hidden="1">'Daily Progress w Pic Report'!$A$1:$R$160</definedName>
    <definedName name="_xlnm._FilterDatabase" localSheetId="2" hidden="1">'Work Progress Report'!$A$1:$V$160</definedName>
    <definedName name="_xlnm.Print_Area" localSheetId="1">'Daily Progress w Pic Report'!$A$1:$R$164</definedName>
    <definedName name="_xlnm.Print_Area" localSheetId="0">'Scope with Sub Task'!$A$1:$J$160</definedName>
    <definedName name="_xlnm.Print_Area" localSheetId="2">'Work Progress Report'!$A$1:$V$164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60" i="3" l="1"/>
  <c r="I159" i="3"/>
  <c r="I158" i="3"/>
  <c r="F158" i="3"/>
  <c r="F159" i="3" s="1"/>
  <c r="J157" i="3"/>
  <c r="I156" i="3"/>
  <c r="I155" i="3"/>
  <c r="I154" i="3"/>
  <c r="F154" i="3"/>
  <c r="F155" i="3" s="1"/>
  <c r="J153" i="3"/>
  <c r="I152" i="3"/>
  <c r="I151" i="3"/>
  <c r="I150" i="3"/>
  <c r="F150" i="3"/>
  <c r="F151" i="3" s="1"/>
  <c r="F152" i="3" s="1"/>
  <c r="J152" i="3" s="1"/>
  <c r="J149" i="3"/>
  <c r="I148" i="3"/>
  <c r="I147" i="3"/>
  <c r="I146" i="3"/>
  <c r="F146" i="3"/>
  <c r="J145" i="3"/>
  <c r="I144" i="3"/>
  <c r="I143" i="3"/>
  <c r="I142" i="3"/>
  <c r="F142" i="3"/>
  <c r="F143" i="3" s="1"/>
  <c r="J141" i="3"/>
  <c r="I140" i="3"/>
  <c r="I139" i="3"/>
  <c r="I138" i="3"/>
  <c r="F138" i="3"/>
  <c r="F139" i="3" s="1"/>
  <c r="J137" i="3"/>
  <c r="I136" i="3"/>
  <c r="I135" i="3"/>
  <c r="I134" i="3"/>
  <c r="F134" i="3"/>
  <c r="F135" i="3" s="1"/>
  <c r="F136" i="3" s="1"/>
  <c r="J133" i="3"/>
  <c r="I132" i="3"/>
  <c r="I131" i="3"/>
  <c r="I130" i="3"/>
  <c r="F130" i="3"/>
  <c r="J130" i="3" s="1"/>
  <c r="J129" i="3"/>
  <c r="I128" i="3"/>
  <c r="I127" i="3"/>
  <c r="I126" i="3"/>
  <c r="F126" i="3"/>
  <c r="F127" i="3" s="1"/>
  <c r="J125" i="3"/>
  <c r="I124" i="3"/>
  <c r="I123" i="3"/>
  <c r="I122" i="3"/>
  <c r="F122" i="3"/>
  <c r="F123" i="3" s="1"/>
  <c r="J121" i="3"/>
  <c r="I120" i="3"/>
  <c r="I119" i="3"/>
  <c r="I118" i="3"/>
  <c r="F118" i="3"/>
  <c r="F119" i="3" s="1"/>
  <c r="F120" i="3" s="1"/>
  <c r="J120" i="3" s="1"/>
  <c r="J117" i="3"/>
  <c r="I116" i="3"/>
  <c r="I115" i="3"/>
  <c r="I114" i="3"/>
  <c r="F114" i="3"/>
  <c r="J113" i="3"/>
  <c r="I112" i="3"/>
  <c r="I111" i="3"/>
  <c r="I110" i="3"/>
  <c r="F110" i="3"/>
  <c r="F111" i="3" s="1"/>
  <c r="J109" i="3"/>
  <c r="I108" i="3"/>
  <c r="I107" i="3"/>
  <c r="I106" i="3"/>
  <c r="F106" i="3"/>
  <c r="F107" i="3" s="1"/>
  <c r="J105" i="3"/>
  <c r="I104" i="3"/>
  <c r="I103" i="3"/>
  <c r="I102" i="3"/>
  <c r="I101" i="3"/>
  <c r="I100" i="3"/>
  <c r="F100" i="3"/>
  <c r="F101" i="3" s="1"/>
  <c r="J99" i="3"/>
  <c r="I97" i="3"/>
  <c r="I96" i="3"/>
  <c r="I95" i="3"/>
  <c r="I94" i="3"/>
  <c r="F94" i="3"/>
  <c r="F95" i="3" s="1"/>
  <c r="J93" i="3"/>
  <c r="A93" i="3"/>
  <c r="I91" i="3"/>
  <c r="I90" i="3"/>
  <c r="I89" i="3"/>
  <c r="I88" i="3"/>
  <c r="I87" i="3"/>
  <c r="F87" i="3"/>
  <c r="F88" i="3" s="1"/>
  <c r="J86" i="3"/>
  <c r="I85" i="3"/>
  <c r="I84" i="3"/>
  <c r="J84" i="3" s="1"/>
  <c r="I83" i="3"/>
  <c r="I82" i="3"/>
  <c r="I81" i="3"/>
  <c r="I80" i="3"/>
  <c r="I79" i="3"/>
  <c r="F79" i="3"/>
  <c r="F80" i="3" s="1"/>
  <c r="F81" i="3" s="1"/>
  <c r="J78" i="3"/>
  <c r="I77" i="3"/>
  <c r="I76" i="3"/>
  <c r="F76" i="3"/>
  <c r="J75" i="3"/>
  <c r="I74" i="3"/>
  <c r="I73" i="3"/>
  <c r="I72" i="3"/>
  <c r="I71" i="3"/>
  <c r="I70" i="3"/>
  <c r="F70" i="3"/>
  <c r="F71" i="3" s="1"/>
  <c r="F72" i="3" s="1"/>
  <c r="F73" i="3" s="1"/>
  <c r="J69" i="3"/>
  <c r="A69" i="3"/>
  <c r="A75" i="3" s="1"/>
  <c r="A78" i="3" s="1"/>
  <c r="A86" i="3" s="1"/>
  <c r="I67" i="3"/>
  <c r="I66" i="3"/>
  <c r="I65" i="3"/>
  <c r="I64" i="3"/>
  <c r="I63" i="3"/>
  <c r="F63" i="3"/>
  <c r="F64" i="3" s="1"/>
  <c r="J62" i="3"/>
  <c r="I61" i="3"/>
  <c r="I60" i="3"/>
  <c r="I59" i="3"/>
  <c r="I58" i="3"/>
  <c r="I57" i="3"/>
  <c r="F57" i="3"/>
  <c r="F58" i="3" s="1"/>
  <c r="J56" i="3"/>
  <c r="I55" i="3"/>
  <c r="I54" i="3"/>
  <c r="I53" i="3"/>
  <c r="I52" i="3"/>
  <c r="I51" i="3"/>
  <c r="F51" i="3"/>
  <c r="F52" i="3" s="1"/>
  <c r="J50" i="3"/>
  <c r="A50" i="3"/>
  <c r="A56" i="3" s="1"/>
  <c r="A62" i="3" s="1"/>
  <c r="J48" i="3"/>
  <c r="I47" i="3"/>
  <c r="I46" i="3"/>
  <c r="F46" i="3"/>
  <c r="F47" i="3" s="1"/>
  <c r="J45" i="3"/>
  <c r="I44" i="3"/>
  <c r="I43" i="3"/>
  <c r="F43" i="3"/>
  <c r="F44" i="3" s="1"/>
  <c r="J44" i="3" s="1"/>
  <c r="J42" i="3"/>
  <c r="I41" i="3"/>
  <c r="I40" i="3"/>
  <c r="F40" i="3"/>
  <c r="F41" i="3" s="1"/>
  <c r="J39" i="3"/>
  <c r="I38" i="3"/>
  <c r="I37" i="3"/>
  <c r="F37" i="3"/>
  <c r="F38" i="3" s="1"/>
  <c r="J38" i="3" s="1"/>
  <c r="J36" i="3"/>
  <c r="J35" i="3"/>
  <c r="A35" i="3"/>
  <c r="A36" i="3" s="1"/>
  <c r="A39" i="3" s="1"/>
  <c r="A42" i="3" s="1"/>
  <c r="A45" i="3" s="1"/>
  <c r="A48" i="3" s="1"/>
  <c r="I33" i="3"/>
  <c r="I32" i="3"/>
  <c r="I31" i="3"/>
  <c r="I30" i="3"/>
  <c r="I29" i="3"/>
  <c r="F29" i="3"/>
  <c r="F30" i="3" s="1"/>
  <c r="J28" i="3"/>
  <c r="I27" i="3"/>
  <c r="I26" i="3"/>
  <c r="I25" i="3"/>
  <c r="I24" i="3"/>
  <c r="I23" i="3"/>
  <c r="I22" i="3"/>
  <c r="I21" i="3"/>
  <c r="F21" i="3"/>
  <c r="F22" i="3" s="1"/>
  <c r="F23" i="3" s="1"/>
  <c r="J20" i="3"/>
  <c r="I19" i="3"/>
  <c r="I18" i="3"/>
  <c r="I17" i="3"/>
  <c r="I16" i="3"/>
  <c r="I15" i="3"/>
  <c r="I14" i="3"/>
  <c r="I13" i="3"/>
  <c r="I12" i="3"/>
  <c r="F12" i="3"/>
  <c r="J11" i="3"/>
  <c r="I10" i="3"/>
  <c r="T10" i="3" s="1"/>
  <c r="I9" i="3"/>
  <c r="U9" i="3" s="1"/>
  <c r="I8" i="3"/>
  <c r="U8" i="3" s="1"/>
  <c r="I7" i="3"/>
  <c r="U7" i="3" s="1"/>
  <c r="I6" i="3"/>
  <c r="U6" i="3" s="1"/>
  <c r="I5" i="3"/>
  <c r="U5" i="3" s="1"/>
  <c r="I4" i="3"/>
  <c r="U4" i="3" s="1"/>
  <c r="F4" i="3"/>
  <c r="R4" i="3" s="1"/>
  <c r="J3" i="3"/>
  <c r="A3" i="3"/>
  <c r="A11" i="3" s="1"/>
  <c r="A20" i="3" s="1"/>
  <c r="A28" i="3" s="1"/>
  <c r="I160" i="2"/>
  <c r="I159" i="2"/>
  <c r="I158" i="2"/>
  <c r="F158" i="2"/>
  <c r="F159" i="2" s="1"/>
  <c r="J157" i="2"/>
  <c r="I156" i="2"/>
  <c r="I155" i="2"/>
  <c r="I154" i="2"/>
  <c r="F154" i="2"/>
  <c r="J153" i="2"/>
  <c r="I152" i="2"/>
  <c r="I151" i="2"/>
  <c r="I150" i="2"/>
  <c r="F150" i="2"/>
  <c r="F151" i="2" s="1"/>
  <c r="J149" i="2"/>
  <c r="I148" i="2"/>
  <c r="I147" i="2"/>
  <c r="I146" i="2"/>
  <c r="F146" i="2"/>
  <c r="F147" i="2" s="1"/>
  <c r="F148" i="2" s="1"/>
  <c r="J145" i="2"/>
  <c r="I144" i="2"/>
  <c r="I143" i="2"/>
  <c r="I142" i="2"/>
  <c r="F142" i="2"/>
  <c r="F143" i="2" s="1"/>
  <c r="J141" i="2"/>
  <c r="I140" i="2"/>
  <c r="I139" i="2"/>
  <c r="I138" i="2"/>
  <c r="F138" i="2"/>
  <c r="J137" i="2"/>
  <c r="I136" i="2"/>
  <c r="I135" i="2"/>
  <c r="I134" i="2"/>
  <c r="F134" i="2"/>
  <c r="F135" i="2" s="1"/>
  <c r="J133" i="2"/>
  <c r="I132" i="2"/>
  <c r="I131" i="2"/>
  <c r="I130" i="2"/>
  <c r="F130" i="2"/>
  <c r="F131" i="2" s="1"/>
  <c r="F132" i="2" s="1"/>
  <c r="J129" i="2"/>
  <c r="I128" i="2"/>
  <c r="I127" i="2"/>
  <c r="I126" i="2"/>
  <c r="F126" i="2"/>
  <c r="F127" i="2" s="1"/>
  <c r="J125" i="2"/>
  <c r="I124" i="2"/>
  <c r="I123" i="2"/>
  <c r="I122" i="2"/>
  <c r="F122" i="2"/>
  <c r="J121" i="2"/>
  <c r="I120" i="2"/>
  <c r="I119" i="2"/>
  <c r="I118" i="2"/>
  <c r="F118" i="2"/>
  <c r="F119" i="2" s="1"/>
  <c r="J117" i="2"/>
  <c r="I116" i="2"/>
  <c r="I115" i="2"/>
  <c r="I114" i="2"/>
  <c r="F114" i="2"/>
  <c r="F115" i="2" s="1"/>
  <c r="F116" i="2" s="1"/>
  <c r="J113" i="2"/>
  <c r="I112" i="2"/>
  <c r="I111" i="2"/>
  <c r="I110" i="2"/>
  <c r="F110" i="2"/>
  <c r="F111" i="2" s="1"/>
  <c r="J109" i="2"/>
  <c r="I108" i="2"/>
  <c r="I107" i="2"/>
  <c r="I106" i="2"/>
  <c r="F106" i="2"/>
  <c r="F107" i="2" s="1"/>
  <c r="J105" i="2"/>
  <c r="I104" i="2"/>
  <c r="I103" i="2"/>
  <c r="I102" i="2"/>
  <c r="I101" i="2"/>
  <c r="I100" i="2"/>
  <c r="F100" i="2"/>
  <c r="J99" i="2"/>
  <c r="I97" i="2"/>
  <c r="I96" i="2"/>
  <c r="I95" i="2"/>
  <c r="I94" i="2"/>
  <c r="F94" i="2"/>
  <c r="F95" i="2" s="1"/>
  <c r="J93" i="2"/>
  <c r="A93" i="2"/>
  <c r="I91" i="2"/>
  <c r="I90" i="2"/>
  <c r="I89" i="2"/>
  <c r="I88" i="2"/>
  <c r="I87" i="2"/>
  <c r="F87" i="2"/>
  <c r="F88" i="2" s="1"/>
  <c r="J86" i="2"/>
  <c r="I85" i="2"/>
  <c r="I84" i="2"/>
  <c r="J84" i="2" s="1"/>
  <c r="I83" i="2"/>
  <c r="I82" i="2"/>
  <c r="I81" i="2"/>
  <c r="I80" i="2"/>
  <c r="I79" i="2"/>
  <c r="F79" i="2"/>
  <c r="J78" i="2"/>
  <c r="I77" i="2"/>
  <c r="I76" i="2"/>
  <c r="F76" i="2"/>
  <c r="F77" i="2" s="1"/>
  <c r="J75" i="2"/>
  <c r="I74" i="2"/>
  <c r="I73" i="2"/>
  <c r="I72" i="2"/>
  <c r="I71" i="2"/>
  <c r="I70" i="2"/>
  <c r="F70" i="2"/>
  <c r="F71" i="2" s="1"/>
  <c r="J69" i="2"/>
  <c r="A69" i="2"/>
  <c r="A75" i="2" s="1"/>
  <c r="A78" i="2" s="1"/>
  <c r="A86" i="2" s="1"/>
  <c r="I67" i="2"/>
  <c r="I66" i="2"/>
  <c r="I65" i="2"/>
  <c r="I64" i="2"/>
  <c r="I63" i="2"/>
  <c r="F63" i="2"/>
  <c r="F64" i="2" s="1"/>
  <c r="J62" i="2"/>
  <c r="I61" i="2"/>
  <c r="I60" i="2"/>
  <c r="I59" i="2"/>
  <c r="I58" i="2"/>
  <c r="I57" i="2"/>
  <c r="F57" i="2"/>
  <c r="F58" i="2" s="1"/>
  <c r="J56" i="2"/>
  <c r="I55" i="2"/>
  <c r="I54" i="2"/>
  <c r="I53" i="2"/>
  <c r="I52" i="2"/>
  <c r="I51" i="2"/>
  <c r="F51" i="2"/>
  <c r="J50" i="2"/>
  <c r="A50" i="2"/>
  <c r="A56" i="2" s="1"/>
  <c r="A62" i="2" s="1"/>
  <c r="J48" i="2"/>
  <c r="I47" i="2"/>
  <c r="I46" i="2"/>
  <c r="F46" i="2"/>
  <c r="F47" i="2" s="1"/>
  <c r="J45" i="2"/>
  <c r="I44" i="2"/>
  <c r="I43" i="2"/>
  <c r="F43" i="2"/>
  <c r="F44" i="2" s="1"/>
  <c r="J42" i="2"/>
  <c r="I41" i="2"/>
  <c r="I40" i="2"/>
  <c r="F40" i="2"/>
  <c r="J39" i="2"/>
  <c r="I38" i="2"/>
  <c r="I37" i="2"/>
  <c r="F37" i="2"/>
  <c r="F38" i="2" s="1"/>
  <c r="J36" i="2"/>
  <c r="J35" i="2"/>
  <c r="A35" i="2"/>
  <c r="A36" i="2" s="1"/>
  <c r="A39" i="2" s="1"/>
  <c r="A42" i="2" s="1"/>
  <c r="A45" i="2" s="1"/>
  <c r="A48" i="2" s="1"/>
  <c r="I33" i="2"/>
  <c r="I32" i="2"/>
  <c r="I31" i="2"/>
  <c r="I30" i="2"/>
  <c r="I29" i="2"/>
  <c r="F29" i="2"/>
  <c r="F30" i="2" s="1"/>
  <c r="J28" i="2"/>
  <c r="I27" i="2"/>
  <c r="I26" i="2"/>
  <c r="I25" i="2"/>
  <c r="I24" i="2"/>
  <c r="I23" i="2"/>
  <c r="I22" i="2"/>
  <c r="I21" i="2"/>
  <c r="F21" i="2"/>
  <c r="N21" i="2" s="1"/>
  <c r="J20" i="2"/>
  <c r="I19" i="2"/>
  <c r="I18" i="2"/>
  <c r="I17" i="2"/>
  <c r="I16" i="2"/>
  <c r="I15" i="2"/>
  <c r="I14" i="2"/>
  <c r="I13" i="2"/>
  <c r="I12" i="2"/>
  <c r="F12" i="2"/>
  <c r="F13" i="2" s="1"/>
  <c r="N13" i="2" s="1"/>
  <c r="J11" i="2"/>
  <c r="I10" i="2"/>
  <c r="P10" i="2" s="1"/>
  <c r="I9" i="2"/>
  <c r="Q9" i="2" s="1"/>
  <c r="I8" i="2"/>
  <c r="P8" i="2" s="1"/>
  <c r="I7" i="2"/>
  <c r="P7" i="2" s="1"/>
  <c r="I6" i="2"/>
  <c r="P6" i="2" s="1"/>
  <c r="I5" i="2"/>
  <c r="P5" i="2" s="1"/>
  <c r="I4" i="2"/>
  <c r="Q4" i="2" s="1"/>
  <c r="F4" i="2"/>
  <c r="F5" i="2" s="1"/>
  <c r="N5" i="2" s="1"/>
  <c r="J3" i="2"/>
  <c r="A3" i="2"/>
  <c r="A11" i="2" s="1"/>
  <c r="A20" i="2" s="1"/>
  <c r="A28" i="2" s="1"/>
  <c r="I156" i="1"/>
  <c r="I155" i="1"/>
  <c r="I154" i="1"/>
  <c r="I160" i="1"/>
  <c r="I159" i="1"/>
  <c r="I158" i="1"/>
  <c r="F158" i="1"/>
  <c r="F159" i="1" s="1"/>
  <c r="J157" i="1"/>
  <c r="F154" i="1"/>
  <c r="J153" i="1"/>
  <c r="I152" i="1"/>
  <c r="I151" i="1"/>
  <c r="I150" i="1"/>
  <c r="F150" i="1"/>
  <c r="F151" i="1" s="1"/>
  <c r="J149" i="1"/>
  <c r="I148" i="1"/>
  <c r="I147" i="1"/>
  <c r="I146" i="1"/>
  <c r="F146" i="1"/>
  <c r="F147" i="1" s="1"/>
  <c r="J145" i="1"/>
  <c r="I144" i="1"/>
  <c r="I143" i="1"/>
  <c r="I142" i="1"/>
  <c r="F143" i="1"/>
  <c r="F144" i="1" s="1"/>
  <c r="F142" i="1"/>
  <c r="J141" i="1"/>
  <c r="I140" i="1"/>
  <c r="I139" i="1"/>
  <c r="I138" i="1"/>
  <c r="I136" i="1"/>
  <c r="I135" i="1"/>
  <c r="I134" i="1"/>
  <c r="I132" i="1"/>
  <c r="I131" i="1"/>
  <c r="I130" i="1"/>
  <c r="F138" i="1"/>
  <c r="F139" i="1" s="1"/>
  <c r="J137" i="1"/>
  <c r="F134" i="1"/>
  <c r="F135" i="1" s="1"/>
  <c r="F136" i="1" s="1"/>
  <c r="J133" i="1"/>
  <c r="F130" i="1"/>
  <c r="F131" i="1" s="1"/>
  <c r="J129" i="1"/>
  <c r="I128" i="1"/>
  <c r="I127" i="1"/>
  <c r="I126" i="1"/>
  <c r="F127" i="1"/>
  <c r="F128" i="1" s="1"/>
  <c r="F126" i="1"/>
  <c r="J125" i="1"/>
  <c r="I124" i="1"/>
  <c r="I123" i="1"/>
  <c r="I122" i="1"/>
  <c r="F122" i="1"/>
  <c r="F123" i="1" s="1"/>
  <c r="J121" i="1"/>
  <c r="I120" i="1"/>
  <c r="I119" i="1"/>
  <c r="I118" i="1"/>
  <c r="F119" i="1"/>
  <c r="F118" i="1"/>
  <c r="J117" i="1"/>
  <c r="I116" i="1"/>
  <c r="I115" i="1"/>
  <c r="I114" i="1"/>
  <c r="F114" i="1"/>
  <c r="J113" i="1"/>
  <c r="I112" i="1"/>
  <c r="I111" i="1"/>
  <c r="I110" i="1"/>
  <c r="F110" i="1"/>
  <c r="F111" i="1" s="1"/>
  <c r="J109" i="1"/>
  <c r="I108" i="1"/>
  <c r="I107" i="1"/>
  <c r="I106" i="1"/>
  <c r="J105" i="1"/>
  <c r="F106" i="1"/>
  <c r="F107" i="1" s="1"/>
  <c r="F108" i="1" s="1"/>
  <c r="I104" i="1"/>
  <c r="I103" i="1"/>
  <c r="I102" i="1"/>
  <c r="I101" i="1"/>
  <c r="I100" i="1"/>
  <c r="F100" i="1"/>
  <c r="F101" i="1" s="1"/>
  <c r="J99" i="1"/>
  <c r="I97" i="1"/>
  <c r="I96" i="1"/>
  <c r="I95" i="1"/>
  <c r="I94" i="1"/>
  <c r="I91" i="1"/>
  <c r="I90" i="1"/>
  <c r="I89" i="1"/>
  <c r="I88" i="1"/>
  <c r="I87" i="1"/>
  <c r="F94" i="1"/>
  <c r="F95" i="1" s="1"/>
  <c r="F87" i="1"/>
  <c r="I84" i="1"/>
  <c r="J84" i="1" s="1"/>
  <c r="I85" i="1"/>
  <c r="I83" i="1"/>
  <c r="I82" i="1"/>
  <c r="I81" i="1"/>
  <c r="I80" i="1"/>
  <c r="I79" i="1"/>
  <c r="I77" i="1"/>
  <c r="I76" i="1"/>
  <c r="F79" i="1"/>
  <c r="F76" i="1"/>
  <c r="F77" i="1" s="1"/>
  <c r="I74" i="1"/>
  <c r="I73" i="1"/>
  <c r="I72" i="1"/>
  <c r="I71" i="1"/>
  <c r="I70" i="1"/>
  <c r="F70" i="1"/>
  <c r="F71" i="1" s="1"/>
  <c r="F72" i="1" s="1"/>
  <c r="I67" i="1"/>
  <c r="I66" i="1"/>
  <c r="I65" i="1"/>
  <c r="I64" i="1"/>
  <c r="I63" i="1"/>
  <c r="F63" i="1"/>
  <c r="F64" i="1" s="1"/>
  <c r="I61" i="1"/>
  <c r="I60" i="1"/>
  <c r="I59" i="1"/>
  <c r="I58" i="1"/>
  <c r="I57" i="1"/>
  <c r="F57" i="1"/>
  <c r="F58" i="1" s="1"/>
  <c r="I55" i="1"/>
  <c r="I54" i="1"/>
  <c r="I53" i="1"/>
  <c r="I52" i="1"/>
  <c r="I51" i="1"/>
  <c r="F51" i="1"/>
  <c r="F52" i="1" s="1"/>
  <c r="F53" i="1" s="1"/>
  <c r="F54" i="1" s="1"/>
  <c r="F55" i="1" s="1"/>
  <c r="I47" i="1"/>
  <c r="I46" i="1"/>
  <c r="F46" i="1"/>
  <c r="I44" i="1"/>
  <c r="I43" i="1"/>
  <c r="F43" i="1"/>
  <c r="F44" i="1" s="1"/>
  <c r="I41" i="1"/>
  <c r="I40" i="1"/>
  <c r="F40" i="1"/>
  <c r="F41" i="1" s="1"/>
  <c r="I38" i="1"/>
  <c r="I37" i="1"/>
  <c r="F37" i="1"/>
  <c r="F38" i="1" s="1"/>
  <c r="I33" i="1"/>
  <c r="I32" i="1"/>
  <c r="I31" i="1"/>
  <c r="I30" i="1"/>
  <c r="I29" i="1"/>
  <c r="F29" i="1"/>
  <c r="F30" i="1" s="1"/>
  <c r="F31" i="1" s="1"/>
  <c r="I27" i="1"/>
  <c r="I26" i="1"/>
  <c r="I25" i="1"/>
  <c r="I24" i="1"/>
  <c r="I23" i="1"/>
  <c r="I22" i="1"/>
  <c r="I21" i="1"/>
  <c r="F21" i="1"/>
  <c r="F22" i="1" s="1"/>
  <c r="F23" i="1" s="1"/>
  <c r="I13" i="1"/>
  <c r="F4" i="1"/>
  <c r="F5" i="1" s="1"/>
  <c r="F6" i="1" s="1"/>
  <c r="F7" i="1" s="1"/>
  <c r="F8" i="1" s="1"/>
  <c r="F9" i="1" s="1"/>
  <c r="F10" i="1" s="1"/>
  <c r="F12" i="1"/>
  <c r="F13" i="1" s="1"/>
  <c r="F14" i="1" s="1"/>
  <c r="F15" i="1" s="1"/>
  <c r="F16" i="1" s="1"/>
  <c r="F17" i="1" s="1"/>
  <c r="F18" i="1" s="1"/>
  <c r="F19" i="1" s="1"/>
  <c r="I19" i="1"/>
  <c r="I18" i="1"/>
  <c r="I17" i="1"/>
  <c r="I16" i="1"/>
  <c r="I15" i="1"/>
  <c r="I14" i="1"/>
  <c r="I12" i="1"/>
  <c r="I6" i="1"/>
  <c r="I10" i="1"/>
  <c r="I9" i="1"/>
  <c r="I8" i="1"/>
  <c r="I7" i="1"/>
  <c r="I5" i="1"/>
  <c r="I4" i="1"/>
  <c r="J93" i="1"/>
  <c r="A93" i="1"/>
  <c r="J86" i="1"/>
  <c r="J78" i="1"/>
  <c r="J75" i="1"/>
  <c r="J69" i="1"/>
  <c r="A69" i="1"/>
  <c r="A75" i="1" s="1"/>
  <c r="A78" i="1" s="1"/>
  <c r="A86" i="1" s="1"/>
  <c r="J62" i="1"/>
  <c r="J56" i="1"/>
  <c r="J50" i="1"/>
  <c r="A50" i="1"/>
  <c r="A56" i="1" s="1"/>
  <c r="A62" i="1" s="1"/>
  <c r="J48" i="1"/>
  <c r="J45" i="1"/>
  <c r="J42" i="1"/>
  <c r="J39" i="1"/>
  <c r="J36" i="1"/>
  <c r="J35" i="1"/>
  <c r="A35" i="1"/>
  <c r="A36" i="1" s="1"/>
  <c r="A39" i="1" s="1"/>
  <c r="A42" i="1" s="1"/>
  <c r="J28" i="1"/>
  <c r="J20" i="1"/>
  <c r="J11" i="1"/>
  <c r="J3" i="1"/>
  <c r="A3" i="1"/>
  <c r="A11" i="1" s="1"/>
  <c r="A20" i="1" s="1"/>
  <c r="A28" i="1" s="1"/>
  <c r="J41" i="3" l="1"/>
  <c r="J136" i="3"/>
  <c r="N12" i="2"/>
  <c r="Q10" i="2"/>
  <c r="J146" i="1"/>
  <c r="J162" i="2"/>
  <c r="P9" i="2"/>
  <c r="Q8" i="2"/>
  <c r="J40" i="2"/>
  <c r="F131" i="3"/>
  <c r="F132" i="3" s="1"/>
  <c r="J132" i="3" s="1"/>
  <c r="J79" i="3"/>
  <c r="J114" i="3"/>
  <c r="J76" i="3"/>
  <c r="U10" i="3"/>
  <c r="J70" i="3"/>
  <c r="J134" i="3"/>
  <c r="J40" i="3"/>
  <c r="J47" i="3"/>
  <c r="J21" i="3"/>
  <c r="J118" i="3"/>
  <c r="T8" i="3"/>
  <c r="J71" i="3"/>
  <c r="F13" i="3"/>
  <c r="F14" i="3" s="1"/>
  <c r="J14" i="3" s="1"/>
  <c r="F77" i="3"/>
  <c r="J77" i="3" s="1"/>
  <c r="J150" i="3"/>
  <c r="T9" i="3"/>
  <c r="J43" i="3"/>
  <c r="J146" i="3"/>
  <c r="T7" i="3"/>
  <c r="F147" i="3"/>
  <c r="F148" i="3" s="1"/>
  <c r="J148" i="3" s="1"/>
  <c r="J46" i="3"/>
  <c r="F5" i="3"/>
  <c r="F6" i="3" s="1"/>
  <c r="F7" i="3" s="1"/>
  <c r="J37" i="3"/>
  <c r="F115" i="3"/>
  <c r="F116" i="3" s="1"/>
  <c r="J116" i="3" s="1"/>
  <c r="J162" i="3"/>
  <c r="J64" i="3"/>
  <c r="F65" i="3"/>
  <c r="F53" i="3"/>
  <c r="J52" i="3"/>
  <c r="J58" i="3"/>
  <c r="F59" i="3"/>
  <c r="F102" i="3"/>
  <c r="J101" i="3"/>
  <c r="J143" i="3"/>
  <c r="F144" i="3"/>
  <c r="J144" i="3" s="1"/>
  <c r="F156" i="3"/>
  <c r="J156" i="3" s="1"/>
  <c r="J155" i="3"/>
  <c r="U3" i="3"/>
  <c r="F82" i="3"/>
  <c r="J81" i="3"/>
  <c r="F83" i="3"/>
  <c r="J83" i="3" s="1"/>
  <c r="F89" i="3"/>
  <c r="J88" i="3"/>
  <c r="F96" i="3"/>
  <c r="J95" i="3"/>
  <c r="F128" i="3"/>
  <c r="J128" i="3" s="1"/>
  <c r="J127" i="3"/>
  <c r="F140" i="3"/>
  <c r="J140" i="3" s="1"/>
  <c r="J139" i="3"/>
  <c r="F108" i="3"/>
  <c r="J108" i="3" s="1"/>
  <c r="J107" i="3"/>
  <c r="J23" i="3"/>
  <c r="F24" i="3"/>
  <c r="F31" i="3"/>
  <c r="J30" i="3"/>
  <c r="J73" i="3"/>
  <c r="F74" i="3"/>
  <c r="J74" i="3" s="1"/>
  <c r="J111" i="3"/>
  <c r="F112" i="3"/>
  <c r="J112" i="3" s="1"/>
  <c r="F124" i="3"/>
  <c r="J124" i="3" s="1"/>
  <c r="J123" i="3"/>
  <c r="F160" i="3"/>
  <c r="J160" i="3" s="1"/>
  <c r="J159" i="3"/>
  <c r="J80" i="3"/>
  <c r="J115" i="3"/>
  <c r="J131" i="3"/>
  <c r="J4" i="3"/>
  <c r="T6" i="3"/>
  <c r="J51" i="3"/>
  <c r="J100" i="3"/>
  <c r="J106" i="3"/>
  <c r="J122" i="3"/>
  <c r="J138" i="3"/>
  <c r="J154" i="3"/>
  <c r="T5" i="3"/>
  <c r="J22" i="3"/>
  <c r="J57" i="3"/>
  <c r="J72" i="3"/>
  <c r="J119" i="3"/>
  <c r="J135" i="3"/>
  <c r="J151" i="3"/>
  <c r="T4" i="3"/>
  <c r="J63" i="3"/>
  <c r="J87" i="3"/>
  <c r="J110" i="3"/>
  <c r="J126" i="3"/>
  <c r="J142" i="3"/>
  <c r="J158" i="3"/>
  <c r="J12" i="3"/>
  <c r="J29" i="3"/>
  <c r="J94" i="3"/>
  <c r="J146" i="2"/>
  <c r="J21" i="2"/>
  <c r="J43" i="2"/>
  <c r="Q6" i="2"/>
  <c r="P4" i="2"/>
  <c r="Q5" i="2"/>
  <c r="J132" i="2"/>
  <c r="Q7" i="2"/>
  <c r="J76" i="2"/>
  <c r="N4" i="2"/>
  <c r="J100" i="2"/>
  <c r="J46" i="2"/>
  <c r="J114" i="2"/>
  <c r="J148" i="2"/>
  <c r="J134" i="2"/>
  <c r="J130" i="2"/>
  <c r="F22" i="2"/>
  <c r="J79" i="2"/>
  <c r="J118" i="2"/>
  <c r="J131" i="2"/>
  <c r="J37" i="2"/>
  <c r="J150" i="2"/>
  <c r="J115" i="2"/>
  <c r="J116" i="2"/>
  <c r="J22" i="2"/>
  <c r="F41" i="2"/>
  <c r="J41" i="2" s="1"/>
  <c r="F80" i="2"/>
  <c r="F81" i="2" s="1"/>
  <c r="J81" i="2" s="1"/>
  <c r="J51" i="2"/>
  <c r="J57" i="2"/>
  <c r="J147" i="2"/>
  <c r="J38" i="2"/>
  <c r="J77" i="2"/>
  <c r="J47" i="2"/>
  <c r="J44" i="2"/>
  <c r="J122" i="2"/>
  <c r="J138" i="2"/>
  <c r="J154" i="2"/>
  <c r="F6" i="2"/>
  <c r="N6" i="2" s="1"/>
  <c r="J5" i="2"/>
  <c r="F31" i="2"/>
  <c r="J30" i="2"/>
  <c r="J64" i="2"/>
  <c r="F65" i="2"/>
  <c r="F72" i="2"/>
  <c r="J71" i="2"/>
  <c r="F108" i="2"/>
  <c r="J108" i="2" s="1"/>
  <c r="J107" i="2"/>
  <c r="J13" i="2"/>
  <c r="F14" i="2"/>
  <c r="N14" i="2" s="1"/>
  <c r="F59" i="2"/>
  <c r="J58" i="2"/>
  <c r="F152" i="2"/>
  <c r="J152" i="2" s="1"/>
  <c r="J151" i="2"/>
  <c r="F96" i="2"/>
  <c r="J95" i="2"/>
  <c r="J119" i="2"/>
  <c r="F120" i="2"/>
  <c r="J120" i="2" s="1"/>
  <c r="J135" i="2"/>
  <c r="F136" i="2"/>
  <c r="J136" i="2" s="1"/>
  <c r="F89" i="2"/>
  <c r="J88" i="2"/>
  <c r="F112" i="2"/>
  <c r="J112" i="2" s="1"/>
  <c r="J111" i="2"/>
  <c r="F128" i="2"/>
  <c r="J128" i="2" s="1"/>
  <c r="J127" i="2"/>
  <c r="F144" i="2"/>
  <c r="J144" i="2" s="1"/>
  <c r="J143" i="2"/>
  <c r="F160" i="2"/>
  <c r="J160" i="2" s="1"/>
  <c r="J159" i="2"/>
  <c r="F52" i="2"/>
  <c r="F123" i="2"/>
  <c r="F139" i="2"/>
  <c r="F155" i="2"/>
  <c r="J12" i="2"/>
  <c r="J63" i="2"/>
  <c r="J87" i="2"/>
  <c r="J110" i="2"/>
  <c r="J126" i="2"/>
  <c r="J142" i="2"/>
  <c r="J158" i="2"/>
  <c r="J106" i="2"/>
  <c r="F101" i="2"/>
  <c r="J4" i="2"/>
  <c r="J29" i="2"/>
  <c r="J70" i="2"/>
  <c r="J94" i="2"/>
  <c r="J154" i="1"/>
  <c r="J159" i="1"/>
  <c r="F160" i="1"/>
  <c r="J160" i="1" s="1"/>
  <c r="J158" i="1"/>
  <c r="F155" i="1"/>
  <c r="F156" i="1" s="1"/>
  <c r="J156" i="1" s="1"/>
  <c r="J155" i="1"/>
  <c r="F152" i="1"/>
  <c r="J152" i="1" s="1"/>
  <c r="J151" i="1"/>
  <c r="J150" i="1"/>
  <c r="J147" i="1"/>
  <c r="F148" i="1"/>
  <c r="J148" i="1" s="1"/>
  <c r="J144" i="1"/>
  <c r="J142" i="1"/>
  <c r="J143" i="1"/>
  <c r="F140" i="1"/>
  <c r="J140" i="1" s="1"/>
  <c r="J139" i="1"/>
  <c r="J138" i="1"/>
  <c r="J136" i="1"/>
  <c r="J134" i="1"/>
  <c r="J135" i="1"/>
  <c r="F132" i="1"/>
  <c r="J132" i="1" s="1"/>
  <c r="J131" i="1"/>
  <c r="J130" i="1"/>
  <c r="J128" i="1"/>
  <c r="J126" i="1"/>
  <c r="J127" i="1"/>
  <c r="F124" i="1"/>
  <c r="J124" i="1" s="1"/>
  <c r="J123" i="1"/>
  <c r="J122" i="1"/>
  <c r="J118" i="1"/>
  <c r="J119" i="1"/>
  <c r="F120" i="1"/>
  <c r="J120" i="1" s="1"/>
  <c r="J114" i="1"/>
  <c r="F115" i="1"/>
  <c r="F112" i="1"/>
  <c r="J112" i="1" s="1"/>
  <c r="J111" i="1"/>
  <c r="J110" i="1"/>
  <c r="F102" i="1"/>
  <c r="J102" i="1" s="1"/>
  <c r="J101" i="1"/>
  <c r="J100" i="1"/>
  <c r="J108" i="1"/>
  <c r="J107" i="1"/>
  <c r="J106" i="1"/>
  <c r="F96" i="1"/>
  <c r="J95" i="1"/>
  <c r="J94" i="1"/>
  <c r="J87" i="1"/>
  <c r="F88" i="1"/>
  <c r="J79" i="1"/>
  <c r="F80" i="1"/>
  <c r="F81" i="1" s="1"/>
  <c r="J81" i="1" s="1"/>
  <c r="J77" i="1"/>
  <c r="J76" i="1"/>
  <c r="J70" i="1"/>
  <c r="J71" i="1"/>
  <c r="F65" i="1"/>
  <c r="J64" i="1"/>
  <c r="J63" i="1"/>
  <c r="F59" i="1"/>
  <c r="J58" i="1"/>
  <c r="J57" i="1"/>
  <c r="J51" i="1"/>
  <c r="J54" i="1"/>
  <c r="J55" i="1"/>
  <c r="J52" i="1"/>
  <c r="J53" i="1"/>
  <c r="J46" i="1"/>
  <c r="F47" i="1"/>
  <c r="J44" i="1"/>
  <c r="J43" i="1"/>
  <c r="J41" i="1"/>
  <c r="J40" i="1"/>
  <c r="J38" i="1"/>
  <c r="J37" i="1"/>
  <c r="J21" i="1"/>
  <c r="J30" i="1"/>
  <c r="J29" i="1"/>
  <c r="J4" i="1"/>
  <c r="F24" i="1"/>
  <c r="J23" i="1"/>
  <c r="J22" i="1"/>
  <c r="J18" i="1"/>
  <c r="J19" i="1"/>
  <c r="J13" i="1"/>
  <c r="J17" i="1"/>
  <c r="J16" i="1"/>
  <c r="J15" i="1"/>
  <c r="J14" i="1"/>
  <c r="J10" i="1"/>
  <c r="J9" i="1"/>
  <c r="J8" i="1"/>
  <c r="J7" i="1"/>
  <c r="J6" i="1"/>
  <c r="J5" i="1"/>
  <c r="J12" i="1"/>
  <c r="A45" i="1"/>
  <c r="A48" i="1" s="1"/>
  <c r="P3" i="2" l="1"/>
  <c r="Q3" i="2"/>
  <c r="L3" i="2"/>
  <c r="P162" i="2"/>
  <c r="F23" i="2"/>
  <c r="J23" i="2" s="1"/>
  <c r="N22" i="2"/>
  <c r="J13" i="3"/>
  <c r="F15" i="3"/>
  <c r="J15" i="3" s="1"/>
  <c r="J6" i="3"/>
  <c r="J147" i="3"/>
  <c r="R6" i="3"/>
  <c r="J5" i="3"/>
  <c r="V5" i="3" s="1"/>
  <c r="R5" i="3"/>
  <c r="V6" i="3"/>
  <c r="F25" i="3"/>
  <c r="J24" i="3"/>
  <c r="J7" i="3"/>
  <c r="V7" i="3" s="1"/>
  <c r="F8" i="3"/>
  <c r="R7" i="3"/>
  <c r="F104" i="3"/>
  <c r="J104" i="3" s="1"/>
  <c r="F103" i="3"/>
  <c r="J103" i="3" s="1"/>
  <c r="J102" i="3"/>
  <c r="T3" i="3"/>
  <c r="F16" i="3"/>
  <c r="U162" i="3"/>
  <c r="Q3" i="3"/>
  <c r="M3" i="3" s="1"/>
  <c r="F32" i="3"/>
  <c r="J31" i="3"/>
  <c r="F91" i="3"/>
  <c r="J91" i="3" s="1"/>
  <c r="F90" i="3"/>
  <c r="J90" i="3" s="1"/>
  <c r="J89" i="3"/>
  <c r="F60" i="3"/>
  <c r="J59" i="3"/>
  <c r="V4" i="3"/>
  <c r="F97" i="3"/>
  <c r="J97" i="3" s="1"/>
  <c r="J96" i="3"/>
  <c r="F54" i="3"/>
  <c r="J53" i="3"/>
  <c r="F85" i="3"/>
  <c r="J85" i="3" s="1"/>
  <c r="J82" i="3"/>
  <c r="F66" i="3"/>
  <c r="J65" i="3"/>
  <c r="R5" i="2"/>
  <c r="R4" i="2"/>
  <c r="J80" i="2"/>
  <c r="F82" i="2"/>
  <c r="F83" i="2"/>
  <c r="J83" i="2" s="1"/>
  <c r="F102" i="2"/>
  <c r="J101" i="2"/>
  <c r="F32" i="2"/>
  <c r="J31" i="2"/>
  <c r="F156" i="2"/>
  <c r="J156" i="2" s="1"/>
  <c r="J155" i="2"/>
  <c r="J65" i="2"/>
  <c r="F66" i="2"/>
  <c r="F140" i="2"/>
  <c r="J140" i="2" s="1"/>
  <c r="J139" i="2"/>
  <c r="J59" i="2"/>
  <c r="F60" i="2"/>
  <c r="F124" i="2"/>
  <c r="J124" i="2" s="1"/>
  <c r="J123" i="2"/>
  <c r="J14" i="2"/>
  <c r="F15" i="2"/>
  <c r="N15" i="2" s="1"/>
  <c r="F53" i="2"/>
  <c r="J52" i="2"/>
  <c r="F97" i="2"/>
  <c r="J97" i="2" s="1"/>
  <c r="J96" i="2"/>
  <c r="F91" i="2"/>
  <c r="J91" i="2" s="1"/>
  <c r="J89" i="2"/>
  <c r="F90" i="2"/>
  <c r="J90" i="2" s="1"/>
  <c r="J72" i="2"/>
  <c r="F73" i="2"/>
  <c r="F7" i="2"/>
  <c r="N7" i="2" s="1"/>
  <c r="J6" i="2"/>
  <c r="R6" i="2" s="1"/>
  <c r="F116" i="1"/>
  <c r="J116" i="1" s="1"/>
  <c r="J115" i="1"/>
  <c r="F104" i="1"/>
  <c r="J104" i="1" s="1"/>
  <c r="F103" i="1"/>
  <c r="J103" i="1" s="1"/>
  <c r="F97" i="1"/>
  <c r="J97" i="1" s="1"/>
  <c r="J96" i="1"/>
  <c r="F89" i="1"/>
  <c r="J88" i="1"/>
  <c r="F82" i="1"/>
  <c r="F83" i="1"/>
  <c r="J83" i="1" s="1"/>
  <c r="J80" i="1"/>
  <c r="F66" i="1"/>
  <c r="J65" i="1"/>
  <c r="F60" i="1"/>
  <c r="J59" i="1"/>
  <c r="J47" i="1"/>
  <c r="F25" i="1"/>
  <c r="J24" i="1"/>
  <c r="F24" i="2" l="1"/>
  <c r="N23" i="2"/>
  <c r="M3" i="2"/>
  <c r="Q162" i="2"/>
  <c r="Q163" i="2" s="1"/>
  <c r="J32" i="3"/>
  <c r="F33" i="3"/>
  <c r="J33" i="3" s="1"/>
  <c r="F67" i="3"/>
  <c r="J67" i="3" s="1"/>
  <c r="J66" i="3"/>
  <c r="F61" i="3"/>
  <c r="J61" i="3" s="1"/>
  <c r="J60" i="3"/>
  <c r="J8" i="3"/>
  <c r="V8" i="3" s="1"/>
  <c r="R8" i="3"/>
  <c r="F9" i="3"/>
  <c r="F55" i="3"/>
  <c r="J55" i="3" s="1"/>
  <c r="J54" i="3"/>
  <c r="J16" i="3"/>
  <c r="F17" i="3"/>
  <c r="T162" i="3"/>
  <c r="P3" i="3"/>
  <c r="L3" i="3" s="1"/>
  <c r="J25" i="3"/>
  <c r="F26" i="3"/>
  <c r="J82" i="2"/>
  <c r="F85" i="2"/>
  <c r="J85" i="2" s="1"/>
  <c r="F16" i="2"/>
  <c r="N16" i="2" s="1"/>
  <c r="J15" i="2"/>
  <c r="F67" i="2"/>
  <c r="J67" i="2" s="1"/>
  <c r="J66" i="2"/>
  <c r="F8" i="2"/>
  <c r="N8" i="2" s="1"/>
  <c r="J7" i="2"/>
  <c r="R7" i="2" s="1"/>
  <c r="F61" i="2"/>
  <c r="J61" i="2" s="1"/>
  <c r="J60" i="2"/>
  <c r="F33" i="2"/>
  <c r="J33" i="2" s="1"/>
  <c r="J32" i="2"/>
  <c r="F74" i="2"/>
  <c r="J74" i="2" s="1"/>
  <c r="J73" i="2"/>
  <c r="F54" i="2"/>
  <c r="J53" i="2"/>
  <c r="F103" i="2"/>
  <c r="J103" i="2" s="1"/>
  <c r="J102" i="2"/>
  <c r="F104" i="2"/>
  <c r="J104" i="2" s="1"/>
  <c r="F90" i="1"/>
  <c r="J89" i="1"/>
  <c r="F91" i="1"/>
  <c r="J91" i="1" s="1"/>
  <c r="J82" i="1"/>
  <c r="F85" i="1"/>
  <c r="J85" i="1" s="1"/>
  <c r="F73" i="1"/>
  <c r="J72" i="1"/>
  <c r="F67" i="1"/>
  <c r="J66" i="1"/>
  <c r="F61" i="1"/>
  <c r="J60" i="1"/>
  <c r="F26" i="1"/>
  <c r="J25" i="1"/>
  <c r="J24" i="2" l="1"/>
  <c r="N24" i="2"/>
  <c r="F25" i="2"/>
  <c r="R3" i="3"/>
  <c r="N3" i="3" s="1"/>
  <c r="F18" i="3"/>
  <c r="J17" i="3"/>
  <c r="F27" i="3"/>
  <c r="J26" i="3"/>
  <c r="R9" i="3"/>
  <c r="J9" i="3"/>
  <c r="V9" i="3" s="1"/>
  <c r="F10" i="3"/>
  <c r="J8" i="2"/>
  <c r="R8" i="2" s="1"/>
  <c r="F9" i="2"/>
  <c r="N9" i="2" s="1"/>
  <c r="F17" i="2"/>
  <c r="N17" i="2" s="1"/>
  <c r="J16" i="2"/>
  <c r="J54" i="2"/>
  <c r="F55" i="2"/>
  <c r="J55" i="2" s="1"/>
  <c r="J90" i="1"/>
  <c r="J73" i="1"/>
  <c r="F74" i="1"/>
  <c r="J74" i="1" s="1"/>
  <c r="J67" i="1"/>
  <c r="J61" i="1"/>
  <c r="F32" i="1"/>
  <c r="J31" i="1"/>
  <c r="J26" i="1"/>
  <c r="F27" i="1"/>
  <c r="J27" i="1" s="1"/>
  <c r="F26" i="2" l="1"/>
  <c r="N25" i="2"/>
  <c r="J25" i="2"/>
  <c r="J27" i="3"/>
  <c r="R10" i="3"/>
  <c r="J10" i="3"/>
  <c r="V10" i="3" s="1"/>
  <c r="V3" i="3" s="1"/>
  <c r="J18" i="3"/>
  <c r="F19" i="3"/>
  <c r="F18" i="2"/>
  <c r="N18" i="2" s="1"/>
  <c r="J17" i="2"/>
  <c r="F10" i="2"/>
  <c r="J9" i="2"/>
  <c r="R9" i="2" s="1"/>
  <c r="F33" i="1"/>
  <c r="J33" i="1" s="1"/>
  <c r="J32" i="1"/>
  <c r="N26" i="2" l="1"/>
  <c r="F27" i="2"/>
  <c r="J26" i="2"/>
  <c r="V162" i="3"/>
  <c r="J19" i="3"/>
  <c r="J10" i="2"/>
  <c r="R10" i="2" s="1"/>
  <c r="R3" i="2" s="1"/>
  <c r="N10" i="2"/>
  <c r="F19" i="2"/>
  <c r="J18" i="2"/>
  <c r="N3" i="2" l="1"/>
  <c r="R162" i="2"/>
  <c r="J19" i="2"/>
  <c r="N19" i="2"/>
  <c r="J27" i="2"/>
  <c r="N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tc={A879A721-1FD3-45C5-A0B4-1504C2BE4A32}</author>
  </authors>
  <commentList>
    <comment ref="L3" authorId="0" shapeId="0" xr:uid="{A879A721-1FD3-45C5-A0B4-1504C2BE4A32}">
      <text>
        <t>[Threaded comment]
Your version of Excel allows you to read this threaded comment; however, any edits to it will get removed if the file is opened in a newer version of Excel. Learn more: https://go.microsoft.com/fwlink/?linkid=870924
Comment:
    Amount / Rate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tc={587E8B8C-7D80-4282-9C87-552E9A7E4B21}</author>
    <author>tc={50127652-9A1F-4571-B24E-1B6E152F4C24}</author>
  </authors>
  <commentList>
    <comment ref="L3" authorId="0" shapeId="0" xr:uid="{587E8B8C-7D80-4282-9C87-552E9A7E4B21}">
      <text>
        <t>[Threaded comment]
Your version of Excel allows you to read this threaded comment; however, any edits to it will get removed if the file is opened in a newer version of Excel. Learn more: https://go.microsoft.com/fwlink/?linkid=870924
Comment:
    Amount / Rate</t>
      </text>
    </comment>
    <comment ref="P3" authorId="1" shapeId="0" xr:uid="{50127652-9A1F-4571-B24E-1B6E152F4C24}">
      <text>
        <t>[Threaded comment]
Your version of Excel allows you to read this threaded comment; however, any edits to it will get removed if the file is opened in a newer version of Excel. Learn more: https://go.microsoft.com/fwlink/?linkid=870924
Comment:
    Amount / Rate</t>
      </text>
    </comment>
  </commentList>
</comments>
</file>

<file path=xl/sharedStrings.xml><?xml version="1.0" encoding="utf-8"?>
<sst xmlns="http://schemas.openxmlformats.org/spreadsheetml/2006/main" count="1080" uniqueCount="101">
  <si>
    <t>Sl No</t>
  </si>
  <si>
    <t>QTY</t>
  </si>
  <si>
    <t>UNIT</t>
  </si>
  <si>
    <t>RATE</t>
  </si>
  <si>
    <t>AMOUNT</t>
  </si>
  <si>
    <t>PARTITION AND LINING</t>
  </si>
  <si>
    <t>100mm thick Supply and installation of Gypsum board 12.5mm thick single gypsum board with rockwool 18kg/m3 installation inside; height up to 4.0m.
Location :Veterinary Clinic</t>
  </si>
  <si>
    <t>Sqm</t>
  </si>
  <si>
    <t>200 mm thick Supply and installation of Gypsum board 12.5mm thick single gypsum board with rockwool 18kg/m3 installation inside; height up to 4.0m. 
Location :Veterinary Clinic</t>
  </si>
  <si>
    <t>100mm thick Supply and installation of Gypsum board 12.5mm thick single gypsum board with rockwool 18kg/m3 installation inside; height up to 1.2m.
Location :Veterinary Clinic</t>
  </si>
  <si>
    <t>Supply and installation of gypsum lining on the existing block wall 12.5mm thick Gypsum board with 75mm stud of height max upto 4.0m. 
Location :Veterinary Clinic</t>
  </si>
  <si>
    <t>FLOORING WORKS</t>
  </si>
  <si>
    <r>
      <t xml:space="preserve">F-102 VINYL FLOORING
</t>
    </r>
    <r>
      <rPr>
        <sz val="12"/>
        <color theme="1"/>
        <rFont val="Book Antiqua"/>
        <family val="1"/>
      </rPr>
      <t>Installation of the flooring including self leveling</t>
    </r>
  </si>
  <si>
    <r>
      <t xml:space="preserve">SKIRTING
</t>
    </r>
    <r>
      <rPr>
        <sz val="12"/>
        <color theme="1"/>
        <rFont val="Book Antiqua"/>
        <family val="1"/>
      </rPr>
      <t>Supply and installation of wooden skirting</t>
    </r>
  </si>
  <si>
    <t>Lm</t>
  </si>
  <si>
    <r>
      <t xml:space="preserve">Trim
</t>
    </r>
    <r>
      <rPr>
        <sz val="12"/>
        <color theme="1"/>
        <rFont val="Book Antiqua"/>
        <family val="1"/>
      </rPr>
      <t>Supply and installation of transition strips on areas with different finishes</t>
    </r>
  </si>
  <si>
    <t>Nos</t>
  </si>
  <si>
    <t>WALL FINISHES</t>
  </si>
  <si>
    <r>
      <t xml:space="preserve">PAINT FINISH-W200
</t>
    </r>
    <r>
      <rPr>
        <sz val="12"/>
        <color theme="1"/>
        <rFont val="Book Antiqua"/>
        <family val="1"/>
      </rPr>
      <t>Supply and apply of paint finish
Location : GF/MF 
Considered alternative option Jotun Fenomastic paint finish</t>
    </r>
  </si>
  <si>
    <r>
      <t xml:space="preserve">PAINT FINISH-W202
</t>
    </r>
    <r>
      <rPr>
        <sz val="12"/>
        <color theme="1"/>
        <rFont val="Book Antiqua"/>
        <family val="1"/>
      </rPr>
      <t>Supply and apply of new paint finish 
Location : GF/MF 
Jotun Fenomastic or equivalent</t>
    </r>
  </si>
  <si>
    <r>
      <t xml:space="preserve">ANTIMICROBIAL PAINT FINISH -W204
</t>
    </r>
    <r>
      <rPr>
        <sz val="12"/>
        <color theme="1"/>
        <rFont val="Book Antiqua"/>
        <family val="1"/>
      </rPr>
      <t>Supply and installation of new paint finish
Location : GF/MF 
Jotun or equivalent</t>
    </r>
  </si>
  <si>
    <t>CEILING WORKS</t>
  </si>
  <si>
    <r>
      <t xml:space="preserve">GYPSUM CEILING
</t>
    </r>
    <r>
      <rPr>
        <sz val="12"/>
        <color theme="1"/>
        <rFont val="Book Antiqua"/>
        <family val="1"/>
      </rPr>
      <t>Supply and installation of 12.5mm thick one layer of MR gypsum board ceiling including paint finish ( Jotun Fenomastic or Equivalent)
Location : Vet Reception Area</t>
    </r>
  </si>
  <si>
    <r>
      <t xml:space="preserve">GYPSUM CEILING - 60 x 60
</t>
    </r>
    <r>
      <rPr>
        <sz val="12"/>
        <color theme="1"/>
        <rFont val="Book Antiqua"/>
        <family val="1"/>
      </rPr>
      <t>Supply and installation of 60 x 60 ceiling tile</t>
    </r>
  </si>
  <si>
    <r>
      <t xml:space="preserve">GYPSUM CEILING COVE
</t>
    </r>
    <r>
      <rPr>
        <sz val="12"/>
        <color theme="1"/>
        <rFont val="Book Antiqua"/>
        <family val="1"/>
      </rPr>
      <t>Supply and installation of gypsum cove for the LED and cut outs for the lights and AC grills including paint finish ( Jotun Fenomastic or Equivalent)
Location : Vet Reception Area</t>
    </r>
  </si>
  <si>
    <t>Item</t>
  </si>
  <si>
    <r>
      <t xml:space="preserve">WOODEN CEILING AT THE VET AREA
</t>
    </r>
    <r>
      <rPr>
        <sz val="12"/>
        <color theme="1"/>
        <rFont val="Book Antiqua"/>
        <family val="1"/>
      </rPr>
      <t>supply and installation of wooden ceiling at the VET area - MDF with veneer finish
Area considered : 20 Sqm
Chandelier is excluded</t>
    </r>
  </si>
  <si>
    <t>GLASS AND ALUMINUM</t>
  </si>
  <si>
    <t>Supply and installation of fixed glass partition.
max.ht up to 3m</t>
  </si>
  <si>
    <r>
      <t>F-102 VINYL FLOORING</t>
    </r>
    <r>
      <rPr>
        <sz val="12"/>
        <color theme="1"/>
        <rFont val="Book Antiqua"/>
        <family val="1"/>
      </rPr>
      <t xml:space="preserve">
Supply of flooring - Straight Pattern as per the sample submitted and approved by the client, to be installed by Glue on smooth, levelled, clear and dry floor.
Considered oak wood effect sheet vinyl as per client instruction Suitable for clinics.</t>
    </r>
  </si>
  <si>
    <r>
      <t xml:space="preserve">F-300 MOSAIC TILE FLOORING
</t>
    </r>
    <r>
      <rPr>
        <sz val="12"/>
        <color theme="1"/>
        <rFont val="Book Antiqua"/>
        <family val="1"/>
      </rPr>
      <t>Supply and installation of tile flooring 60x120x9mm Porcelain Matt P.C Rate of AED 110.00 per sqm</t>
    </r>
  </si>
  <si>
    <t>Category</t>
  </si>
  <si>
    <t>Partition / Lining</t>
  </si>
  <si>
    <t>Floor</t>
  </si>
  <si>
    <t>Paint</t>
  </si>
  <si>
    <t>Ceiling</t>
  </si>
  <si>
    <t>Joinery</t>
  </si>
  <si>
    <t>Glass</t>
  </si>
  <si>
    <t>Sub Task</t>
  </si>
  <si>
    <t>Description (Task)</t>
  </si>
  <si>
    <t>Sanding</t>
  </si>
  <si>
    <t>Frame 01</t>
  </si>
  <si>
    <t>Gypsum Board 01</t>
  </si>
  <si>
    <t>Gypsum Board 02</t>
  </si>
  <si>
    <t>Taping Jointing 01</t>
  </si>
  <si>
    <t>Taping Jointing 02</t>
  </si>
  <si>
    <t>Breakdown %</t>
  </si>
  <si>
    <t>Rockwool</t>
  </si>
  <si>
    <t>Frame 02</t>
  </si>
  <si>
    <t>Self Levelling</t>
  </si>
  <si>
    <t>Installation of Vinyl</t>
  </si>
  <si>
    <t>Tile Fixing</t>
  </si>
  <si>
    <t>Grout</t>
  </si>
  <si>
    <r>
      <t xml:space="preserve">F-305 TILE FLOORING
</t>
    </r>
    <r>
      <rPr>
        <sz val="12"/>
        <color theme="1"/>
        <rFont val="Book Antiqua"/>
        <family val="1"/>
      </rPr>
      <t>Supply and installation of tile flooring 20x120x9mm Porcelain Matt. P.C Rate of AED 90.00 per sqm
Reception</t>
    </r>
  </si>
  <si>
    <t>Skirting Fixing</t>
  </si>
  <si>
    <t>Primer</t>
  </si>
  <si>
    <t>Stucco 01</t>
  </si>
  <si>
    <t>Stucco 02</t>
  </si>
  <si>
    <t>Paint 01</t>
  </si>
  <si>
    <t>Paint 02</t>
  </si>
  <si>
    <t>Cut Outs</t>
  </si>
  <si>
    <t>Veneer</t>
  </si>
  <si>
    <t>Assembly</t>
  </si>
  <si>
    <t>Polish</t>
  </si>
  <si>
    <t>Site Fixing</t>
  </si>
  <si>
    <t>Channels</t>
  </si>
  <si>
    <t>Glass Fixing</t>
  </si>
  <si>
    <t>Finishing Joints</t>
  </si>
  <si>
    <t>Cleaning</t>
  </si>
  <si>
    <t>JOINERY</t>
  </si>
  <si>
    <r>
      <t xml:space="preserve">Manufacture, supply and installation of </t>
    </r>
    <r>
      <rPr>
        <b/>
        <sz val="14"/>
        <rFont val="Aptos Narrow"/>
        <family val="2"/>
        <scheme val="minor"/>
      </rPr>
      <t xml:space="preserve">Reception Counter with build in storage </t>
    </r>
    <r>
      <rPr>
        <sz val="14"/>
        <rFont val="Aptos Narrow"/>
        <family val="2"/>
        <scheme val="minor"/>
      </rPr>
      <t xml:space="preserve">made of </t>
    </r>
    <r>
      <rPr>
        <b/>
        <sz val="14"/>
        <rFont val="Aptos Narrow"/>
        <family val="2"/>
        <scheme val="minor"/>
      </rPr>
      <t>MDF</t>
    </r>
    <r>
      <rPr>
        <sz val="14"/>
        <rFont val="Aptos Narrow"/>
        <family val="2"/>
        <scheme val="minor"/>
      </rPr>
      <t xml:space="preserve"> with all related works as per design. Exclude Signage</t>
    </r>
  </si>
  <si>
    <r>
      <t xml:space="preserve">Manufacture, supply and installation of </t>
    </r>
    <r>
      <rPr>
        <b/>
        <sz val="14"/>
        <rFont val="Aptos Narrow"/>
        <family val="2"/>
        <scheme val="minor"/>
      </rPr>
      <t xml:space="preserve">Banquette Seating with Projections </t>
    </r>
    <r>
      <rPr>
        <sz val="14"/>
        <rFont val="Aptos Narrow"/>
        <family val="2"/>
        <scheme val="minor"/>
      </rPr>
      <t>made of</t>
    </r>
    <r>
      <rPr>
        <b/>
        <sz val="14"/>
        <rFont val="Aptos Narrow"/>
        <family val="2"/>
        <scheme val="minor"/>
      </rPr>
      <t xml:space="preserve"> MDF</t>
    </r>
    <r>
      <rPr>
        <sz val="14"/>
        <rFont val="Aptos Narrow"/>
        <family val="2"/>
        <scheme val="minor"/>
      </rPr>
      <t xml:space="preserve"> with all related works as per design.
Exclude: Plants | @ Cat Waiting Area Note-Aed 60-70 Leather consider</t>
    </r>
  </si>
  <si>
    <t>Laminate Finish</t>
  </si>
  <si>
    <r>
      <t xml:space="preserve">Manufacture, supply and installation of </t>
    </r>
    <r>
      <rPr>
        <b/>
        <sz val="14"/>
        <rFont val="Aptos Narrow"/>
        <family val="2"/>
        <scheme val="minor"/>
      </rPr>
      <t>L Shape Planter Box</t>
    </r>
    <r>
      <rPr>
        <sz val="14"/>
        <rFont val="Aptos Narrow"/>
        <family val="2"/>
        <scheme val="minor"/>
      </rPr>
      <t xml:space="preserve"> made of</t>
    </r>
    <r>
      <rPr>
        <b/>
        <sz val="14"/>
        <rFont val="Aptos Narrow"/>
        <family val="2"/>
        <scheme val="minor"/>
      </rPr>
      <t xml:space="preserve"> MDF </t>
    </r>
    <r>
      <rPr>
        <sz val="14"/>
        <rFont val="Aptos Narrow"/>
        <family val="2"/>
        <scheme val="minor"/>
      </rPr>
      <t xml:space="preserve">with all related works as per design.
</t>
    </r>
    <r>
      <rPr>
        <b/>
        <sz val="14"/>
        <rFont val="Aptos Narrow"/>
        <family val="2"/>
        <scheme val="minor"/>
      </rPr>
      <t xml:space="preserve">Exclude Plants  </t>
    </r>
  </si>
  <si>
    <r>
      <t xml:space="preserve">Manufacture, supply and installation of </t>
    </r>
    <r>
      <rPr>
        <b/>
        <sz val="14"/>
        <rFont val="Aptos Narrow"/>
        <family val="2"/>
        <scheme val="minor"/>
      </rPr>
      <t xml:space="preserve">Two Tier Banquette Seating with Steps at center </t>
    </r>
    <r>
      <rPr>
        <sz val="14"/>
        <rFont val="Aptos Narrow"/>
        <family val="2"/>
        <scheme val="minor"/>
      </rPr>
      <t xml:space="preserve">made of </t>
    </r>
    <r>
      <rPr>
        <b/>
        <sz val="14"/>
        <rFont val="Aptos Narrow"/>
        <family val="2"/>
        <scheme val="minor"/>
      </rPr>
      <t xml:space="preserve"> MDF </t>
    </r>
    <r>
      <rPr>
        <sz val="14"/>
        <rFont val="Aptos Narrow"/>
        <family val="2"/>
        <scheme val="minor"/>
      </rPr>
      <t>with all related works as per design. @ Dog Waiting Area Note-Aed 60-70 Leather consider</t>
    </r>
  </si>
  <si>
    <r>
      <t xml:space="preserve">Manufacture, supply and installation of </t>
    </r>
    <r>
      <rPr>
        <b/>
        <sz val="14"/>
        <rFont val="Aptos Narrow"/>
        <family val="2"/>
        <scheme val="minor"/>
      </rPr>
      <t xml:space="preserve">Banquette Seating </t>
    </r>
    <r>
      <rPr>
        <sz val="14"/>
        <rFont val="Aptos Narrow"/>
        <family val="2"/>
        <scheme val="minor"/>
      </rPr>
      <t xml:space="preserve">made of </t>
    </r>
    <r>
      <rPr>
        <b/>
        <sz val="14"/>
        <rFont val="Aptos Narrow"/>
        <family val="2"/>
        <scheme val="minor"/>
      </rPr>
      <t xml:space="preserve">MDF </t>
    </r>
    <r>
      <rPr>
        <sz val="14"/>
        <rFont val="Aptos Narrow"/>
        <family val="2"/>
        <scheme val="minor"/>
      </rPr>
      <t xml:space="preserve">with all related works as per design.
</t>
    </r>
    <r>
      <rPr>
        <b/>
        <sz val="14"/>
        <rFont val="Aptos Narrow"/>
        <family val="2"/>
        <scheme val="minor"/>
      </rPr>
      <t>@ Dog Waiting Area</t>
    </r>
  </si>
  <si>
    <r>
      <t xml:space="preserve">Manufacture, supply and installation of </t>
    </r>
    <r>
      <rPr>
        <b/>
        <sz val="14"/>
        <rFont val="Aptos Narrow"/>
        <family val="2"/>
        <scheme val="minor"/>
      </rPr>
      <t xml:space="preserve"> Planter Box </t>
    </r>
    <r>
      <rPr>
        <sz val="14"/>
        <rFont val="Aptos Narrow"/>
        <family val="2"/>
        <scheme val="minor"/>
      </rPr>
      <t xml:space="preserve">made of </t>
    </r>
    <r>
      <rPr>
        <b/>
        <sz val="14"/>
        <rFont val="Aptos Narrow"/>
        <family val="2"/>
        <scheme val="minor"/>
      </rPr>
      <t xml:space="preserve">MDF </t>
    </r>
    <r>
      <rPr>
        <sz val="14"/>
        <rFont val="Aptos Narrow"/>
        <family val="2"/>
        <scheme val="minor"/>
      </rPr>
      <t>with all related works as per design.
Exclude: Plants @ Behing Banquette Sitting at Cat Waiting Area</t>
    </r>
  </si>
  <si>
    <r>
      <t>Manufacture, supply and installation of</t>
    </r>
    <r>
      <rPr>
        <b/>
        <sz val="14"/>
        <rFont val="Aptos Narrow"/>
        <family val="2"/>
        <scheme val="minor"/>
      </rPr>
      <t xml:space="preserve"> DB Wall Cladding Cabinet Type </t>
    </r>
    <r>
      <rPr>
        <sz val="14"/>
        <rFont val="Aptos Narrow"/>
        <family val="2"/>
        <scheme val="minor"/>
      </rPr>
      <t xml:space="preserve">made of </t>
    </r>
    <r>
      <rPr>
        <b/>
        <sz val="14"/>
        <rFont val="Aptos Narrow"/>
        <family val="2"/>
        <scheme val="minor"/>
      </rPr>
      <t>MDF</t>
    </r>
    <r>
      <rPr>
        <sz val="14"/>
        <rFont val="Aptos Narrow"/>
        <family val="2"/>
        <scheme val="minor"/>
      </rPr>
      <t xml:space="preserve">  all related works as per design.
</t>
    </r>
    <r>
      <rPr>
        <b/>
        <sz val="11"/>
        <color theme="1"/>
        <rFont val="Aptos Narrow"/>
        <family val="2"/>
        <scheme val="minor"/>
      </rPr>
      <t/>
    </r>
  </si>
  <si>
    <r>
      <t xml:space="preserve">Manufacture, supply and installation of </t>
    </r>
    <r>
      <rPr>
        <b/>
        <sz val="14"/>
        <rFont val="Aptos Narrow"/>
        <family val="2"/>
        <scheme val="minor"/>
      </rPr>
      <t xml:space="preserve">Display Cabinet </t>
    </r>
    <r>
      <rPr>
        <sz val="14"/>
        <rFont val="Aptos Narrow"/>
        <family val="2"/>
        <scheme val="minor"/>
      </rPr>
      <t xml:space="preserve">with Under Storage made of </t>
    </r>
    <r>
      <rPr>
        <b/>
        <sz val="14"/>
        <rFont val="Aptos Narrow"/>
        <family val="2"/>
        <scheme val="minor"/>
      </rPr>
      <t xml:space="preserve">MDF </t>
    </r>
    <r>
      <rPr>
        <sz val="14"/>
        <rFont val="Aptos Narrow"/>
        <family val="2"/>
        <scheme val="minor"/>
      </rPr>
      <t>with all related works as per design. @ Near Reception Desk
Note-LED Light Excluded</t>
    </r>
  </si>
  <si>
    <r>
      <t xml:space="preserve">Manufacture, supply and installation of </t>
    </r>
    <r>
      <rPr>
        <b/>
        <sz val="14"/>
        <rFont val="Aptos Narrow"/>
        <family val="2"/>
        <scheme val="minor"/>
      </rPr>
      <t xml:space="preserve">Cabinet with Sink </t>
    </r>
    <r>
      <rPr>
        <sz val="14"/>
        <rFont val="Aptos Narrow"/>
        <family val="2"/>
        <scheme val="minor"/>
      </rPr>
      <t>made of</t>
    </r>
    <r>
      <rPr>
        <b/>
        <sz val="14"/>
        <rFont val="Aptos Narrow"/>
        <family val="2"/>
        <scheme val="minor"/>
      </rPr>
      <t xml:space="preserve"> MDF </t>
    </r>
    <r>
      <rPr>
        <sz val="14"/>
        <rFont val="Aptos Narrow"/>
        <family val="2"/>
        <scheme val="minor"/>
      </rPr>
      <t>with all related works as per design.
 Exclude all Appliences and MEP works</t>
    </r>
  </si>
  <si>
    <r>
      <t>Manufacture, supply and installationn of</t>
    </r>
    <r>
      <rPr>
        <b/>
        <sz val="14"/>
        <rFont val="Aptos Narrow"/>
        <family val="2"/>
        <scheme val="minor"/>
      </rPr>
      <t xml:space="preserve"> Preparation Cabinet </t>
    </r>
    <r>
      <rPr>
        <sz val="14"/>
        <rFont val="Aptos Narrow"/>
        <family val="2"/>
        <scheme val="minor"/>
      </rPr>
      <t xml:space="preserve">made of </t>
    </r>
    <r>
      <rPr>
        <b/>
        <sz val="14"/>
        <rFont val="Aptos Narrow"/>
        <family val="2"/>
        <scheme val="minor"/>
      </rPr>
      <t>MDF</t>
    </r>
    <r>
      <rPr>
        <sz val="14"/>
        <rFont val="Aptos Narrow"/>
        <family val="2"/>
        <scheme val="minor"/>
      </rPr>
      <t xml:space="preserve"> with all related works as per design.
</t>
    </r>
  </si>
  <si>
    <r>
      <t>Manufacture, supply and installationn of</t>
    </r>
    <r>
      <rPr>
        <b/>
        <sz val="14"/>
        <rFont val="Aptos Narrow"/>
        <family val="2"/>
        <scheme val="minor"/>
      </rPr>
      <t xml:space="preserve"> Preparation Table </t>
    </r>
    <r>
      <rPr>
        <sz val="14"/>
        <rFont val="Aptos Narrow"/>
        <family val="2"/>
        <scheme val="minor"/>
      </rPr>
      <t xml:space="preserve">made of </t>
    </r>
    <r>
      <rPr>
        <b/>
        <sz val="14"/>
        <rFont val="Aptos Narrow"/>
        <family val="2"/>
        <scheme val="minor"/>
      </rPr>
      <t>MDF</t>
    </r>
    <r>
      <rPr>
        <sz val="14"/>
        <rFont val="Aptos Narrow"/>
        <family val="2"/>
        <scheme val="minor"/>
      </rPr>
      <t xml:space="preserve"> with all related works as per design.
</t>
    </r>
  </si>
  <si>
    <r>
      <t xml:space="preserve">Manufacture, supply and installation of </t>
    </r>
    <r>
      <rPr>
        <b/>
        <sz val="14"/>
        <rFont val="Aptos Narrow"/>
        <family val="2"/>
        <scheme val="minor"/>
      </rPr>
      <t>Wooden Battern Ceiling</t>
    </r>
    <r>
      <rPr>
        <sz val="14"/>
        <rFont val="Aptos Narrow"/>
        <family val="2"/>
        <scheme val="minor"/>
      </rPr>
      <t xml:space="preserve"> made of </t>
    </r>
    <r>
      <rPr>
        <b/>
        <sz val="14"/>
        <rFont val="Aptos Narrow"/>
        <family val="2"/>
        <scheme val="minor"/>
      </rPr>
      <t>MDF</t>
    </r>
    <r>
      <rPr>
        <sz val="14"/>
        <rFont val="Aptos Narrow"/>
        <family val="2"/>
        <scheme val="minor"/>
      </rPr>
      <t xml:space="preserve"> with all related works as per design.
Note-200 mm hight consider</t>
    </r>
  </si>
  <si>
    <r>
      <rPr>
        <b/>
        <sz val="14"/>
        <rFont val="Aptos Narrow"/>
        <family val="2"/>
        <scheme val="minor"/>
      </rPr>
      <t>Timber doors and frames</t>
    </r>
    <r>
      <rPr>
        <sz val="14"/>
        <rFont val="Aptos Narrow"/>
        <family val="2"/>
        <scheme val="minor"/>
      </rPr>
      <t xml:space="preserve">; including ironmongery, architrave, fittings, fixings and accessories; all in accordance with the drawings and Specifications. </t>
    </r>
    <r>
      <rPr>
        <b/>
        <sz val="14"/>
        <rFont val="Aptos Narrow"/>
        <family val="2"/>
        <scheme val="minor"/>
      </rPr>
      <t>Single leaf  concealed door closer</t>
    </r>
  </si>
  <si>
    <r>
      <rPr>
        <b/>
        <sz val="14"/>
        <rFont val="Aptos Narrow"/>
        <family val="2"/>
        <scheme val="minor"/>
      </rPr>
      <t>Timber doors and frames</t>
    </r>
    <r>
      <rPr>
        <sz val="14"/>
        <rFont val="Aptos Narrow"/>
        <family val="2"/>
        <scheme val="minor"/>
      </rPr>
      <t xml:space="preserve">; including ironmongery, architrave, fittings, fixings and accessories; all in accordance with the drawings and Specifications. </t>
    </r>
    <r>
      <rPr>
        <b/>
        <sz val="14"/>
        <rFont val="Aptos Narrow"/>
        <family val="2"/>
        <scheme val="minor"/>
      </rPr>
      <t>Single leaf , with vision panel concealed door closer</t>
    </r>
  </si>
  <si>
    <t>Today's Qty</t>
  </si>
  <si>
    <t>Cum Qty till yesterday</t>
  </si>
  <si>
    <t>Cum Amt till yesterday</t>
  </si>
  <si>
    <t>Balance Qty</t>
  </si>
  <si>
    <t>Today's Amt</t>
  </si>
  <si>
    <t>Balance Amt</t>
  </si>
  <si>
    <t>Previous Qty</t>
  </si>
  <si>
    <t>Current Qty</t>
  </si>
  <si>
    <t>Total Qty</t>
  </si>
  <si>
    <t>Previous %</t>
  </si>
  <si>
    <t>Current %</t>
  </si>
  <si>
    <t>Total %</t>
  </si>
  <si>
    <t>Cum Amt</t>
  </si>
  <si>
    <t>Current Amt</t>
  </si>
  <si>
    <t>Total Amt</t>
  </si>
  <si>
    <t>Dwg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</si>
</sst>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5" x14ac:knownFonts="1">
    <font>
      <sz val="11"/>
      <color theme="1"/>
      <name val="Book Antiqua"/>
      <family val="2"/>
    </font>
    <font>
      <sz val="11"/>
      <color theme="1"/>
      <name val="Book Antiqua"/>
      <family val="2"/>
    </font>
    <font>
      <sz val="11"/>
      <color theme="1"/>
      <name val="Aptos Narrow"/>
      <family val="2"/>
      <scheme val="minor"/>
    </font>
    <font>
      <b/>
      <sz val="12"/>
      <color theme="1"/>
      <name val="Book Antiqua"/>
      <family val="1"/>
    </font>
    <font>
      <sz val="12"/>
      <color theme="1"/>
      <name val="Book Antiqua"/>
      <family val="1"/>
    </font>
    <font>
      <sz val="11"/>
      <color indexed="8"/>
      <name val="Calibri"/>
      <family val="2"/>
    </font>
    <font>
      <sz val="12"/>
      <name val="Book Antiqua"/>
      <family val="1"/>
    </font>
    <font>
      <sz val="10"/>
      <color rgb="FF000000"/>
      <name val="Times New Roman"/>
      <family val="1"/>
    </font>
    <font>
      <i/>
      <sz val="12"/>
      <color theme="1"/>
      <name val="Book Antiqua"/>
      <family val="1"/>
    </font>
    <font>
      <i/>
      <sz val="12"/>
      <name val="Book Antiqua"/>
      <family val="1"/>
    </font>
    <font>
      <b/>
      <i/>
      <sz val="12"/>
      <color theme="1"/>
      <name val="Book Antiqua"/>
      <family val="1"/>
    </font>
    <font>
      <sz val="11"/>
      <color theme="1"/>
      <name val="Aptos Narrow"/>
      <family val="2"/>
      <charset val="1"/>
      <scheme val="minor"/>
    </font>
    <font>
      <sz val="14"/>
      <name val="Aptos Narrow"/>
      <family val="2"/>
      <scheme val="minor"/>
    </font>
    <font>
      <b/>
      <sz val="14"/>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diagonal/>
    </border>
    <border>
      <left style="thin">
        <color auto="1"/>
      </left>
      <right/>
      <top style="thin">
        <color auto="1"/>
      </top>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5" fillId="0" borderId="0"/>
    <xf numFmtId="43" fontId="5" fillId="0" borderId="0" applyFont="0" applyFill="0" applyBorder="0" applyAlignment="0" applyProtection="0"/>
    <xf numFmtId="0" fontId="7" fillId="0" borderId="0"/>
    <xf numFmtId="0" fontId="11" fillId="0" borderId="0"/>
  </cellStyleXfs>
  <cellXfs count="44">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2" fontId="3" fillId="3" borderId="1" xfId="3" applyNumberFormat="1" applyFont="1" applyFill="1" applyBorder="1" applyAlignment="1">
      <alignment horizontal="center" vertical="center" wrapText="1"/>
    </xf>
    <xf numFmtId="0" fontId="3" fillId="0" borderId="6" xfId="0" applyFont="1" applyBorder="1" applyAlignment="1">
      <alignment vertical="center" wrapText="1"/>
    </xf>
    <xf numFmtId="2" fontId="3" fillId="3" borderId="2" xfId="3" applyNumberFormat="1" applyFont="1" applyFill="1" applyBorder="1" applyAlignment="1">
      <alignment horizontal="center" vertical="center" wrapText="1"/>
    </xf>
    <xf numFmtId="2" fontId="4" fillId="0" borderId="6" xfId="3" applyNumberFormat="1" applyFont="1" applyBorder="1" applyAlignment="1">
      <alignment horizontal="center" vertical="center" wrapText="1"/>
    </xf>
    <xf numFmtId="4" fontId="0" fillId="0" borderId="0" xfId="0" applyNumberFormat="1"/>
    <xf numFmtId="9" fontId="0" fillId="0" borderId="0" xfId="2" applyFont="1"/>
    <xf numFmtId="2" fontId="4" fillId="0" borderId="7" xfId="3" applyNumberFormat="1" applyFont="1" applyBorder="1" applyAlignment="1">
      <alignment horizontal="center" vertical="center" wrapText="1"/>
    </xf>
    <xf numFmtId="2" fontId="3" fillId="3" borderId="5" xfId="3" applyNumberFormat="1" applyFont="1" applyFill="1" applyBorder="1" applyAlignment="1">
      <alignment horizontal="center" vertical="center" wrapText="1"/>
    </xf>
    <xf numFmtId="2" fontId="3" fillId="3" borderId="8" xfId="3" applyNumberFormat="1" applyFont="1" applyFill="1" applyBorder="1" applyAlignment="1">
      <alignment horizontal="center" vertical="center" wrapText="1"/>
    </xf>
    <xf numFmtId="0" fontId="6" fillId="0" borderId="7" xfId="4" applyFont="1" applyBorder="1" applyAlignment="1">
      <alignment vertical="center" wrapText="1"/>
    </xf>
    <xf numFmtId="0" fontId="6" fillId="0" borderId="6" xfId="4" applyFont="1" applyBorder="1" applyAlignment="1">
      <alignment vertical="center" wrapText="1"/>
    </xf>
    <xf numFmtId="0" fontId="9" fillId="0" borderId="4" xfId="4" applyFont="1" applyBorder="1" applyAlignment="1">
      <alignment horizontal="left" vertical="center" wrapText="1"/>
    </xf>
    <xf numFmtId="4" fontId="8" fillId="0" borderId="1" xfId="3" applyNumberFormat="1" applyFont="1" applyBorder="1" applyAlignment="1">
      <alignment horizontal="center" vertical="center" wrapText="1"/>
    </xf>
    <xf numFmtId="9" fontId="8" fillId="0" borderId="1" xfId="2" applyFont="1" applyBorder="1" applyAlignment="1">
      <alignment horizontal="center" vertical="center" wrapText="1"/>
    </xf>
    <xf numFmtId="0" fontId="10" fillId="2" borderId="1" xfId="0" applyFont="1" applyFill="1" applyBorder="1" applyAlignment="1">
      <alignment horizontal="center" vertical="center"/>
    </xf>
    <xf numFmtId="9" fontId="10" fillId="2" borderId="1" xfId="2" applyFont="1" applyFill="1" applyBorder="1" applyAlignment="1">
      <alignment horizontal="center" vertical="center" wrapText="1"/>
    </xf>
    <xf numFmtId="0" fontId="3" fillId="0" borderId="7" xfId="0" applyFont="1" applyBorder="1" applyAlignment="1">
      <alignment vertical="center" wrapText="1"/>
    </xf>
    <xf numFmtId="2" fontId="4" fillId="4" borderId="5" xfId="3" applyNumberFormat="1" applyFont="1" applyFill="1" applyBorder="1" applyAlignment="1">
      <alignment horizontal="center" vertical="center" wrapText="1"/>
    </xf>
    <xf numFmtId="0" fontId="6" fillId="4" borderId="5" xfId="4" applyFont="1" applyFill="1" applyBorder="1" applyAlignment="1">
      <alignment horizontal="left" vertical="center" wrapText="1"/>
    </xf>
    <xf numFmtId="0" fontId="6" fillId="4" borderId="4" xfId="4" applyFont="1" applyFill="1" applyBorder="1" applyAlignment="1">
      <alignment horizontal="left" vertical="center" wrapText="1"/>
    </xf>
    <xf numFmtId="4" fontId="4" fillId="4" borderId="1" xfId="3" applyNumberFormat="1" applyFont="1" applyFill="1" applyBorder="1" applyAlignment="1">
      <alignment horizontal="center" vertical="center" wrapText="1"/>
    </xf>
    <xf numFmtId="9" fontId="4" fillId="4" borderId="1" xfId="2" applyFont="1" applyFill="1" applyBorder="1" applyAlignment="1">
      <alignment horizontal="center" vertical="center" wrapText="1"/>
    </xf>
    <xf numFmtId="0" fontId="12" fillId="4" borderId="5" xfId="4" applyFont="1" applyFill="1" applyBorder="1" applyAlignment="1">
      <alignment horizontal="left" vertical="center" wrapText="1"/>
    </xf>
    <xf numFmtId="0" fontId="0" fillId="0" borderId="0" xfId="0" applyAlignment="1">
      <alignment vertical="center"/>
    </xf>
    <xf numFmtId="9" fontId="0" fillId="0" borderId="0" xfId="2" applyFont="1" applyAlignment="1">
      <alignment vertical="center"/>
    </xf>
    <xf numFmtId="43" fontId="3" fillId="2" borderId="1" xfId="1" applyFont="1" applyFill="1" applyBorder="1" applyAlignment="1">
      <alignment horizontal="center" vertical="center" wrapText="1"/>
    </xf>
    <xf numFmtId="43" fontId="4" fillId="4" borderId="1" xfId="1" applyFont="1" applyFill="1" applyBorder="1" applyAlignment="1">
      <alignment horizontal="center" vertical="center" wrapText="1"/>
    </xf>
    <xf numFmtId="43" fontId="8" fillId="0" borderId="1" xfId="1" applyFont="1" applyBorder="1" applyAlignment="1">
      <alignment horizontal="center" vertical="center" wrapText="1"/>
    </xf>
    <xf numFmtId="43" fontId="0" fillId="0" borderId="0" xfId="1" applyFont="1" applyAlignment="1">
      <alignment vertical="center"/>
    </xf>
    <xf numFmtId="43" fontId="8" fillId="5" borderId="1" xfId="1" applyFont="1" applyFill="1" applyBorder="1" applyAlignment="1">
      <alignment horizontal="center" vertical="center" wrapText="1"/>
    </xf>
    <xf numFmtId="10" fontId="3" fillId="2" borderId="1" xfId="2" applyNumberFormat="1" applyFont="1" applyFill="1" applyBorder="1" applyAlignment="1">
      <alignment horizontal="center" vertical="center" wrapText="1"/>
    </xf>
    <xf numFmtId="10" fontId="0" fillId="0" borderId="0" xfId="2" applyNumberFormat="1" applyFont="1" applyAlignment="1">
      <alignment vertical="center"/>
    </xf>
    <xf numFmtId="10" fontId="4" fillId="4" borderId="1" xfId="2" applyNumberFormat="1" applyFont="1" applyFill="1" applyBorder="1" applyAlignment="1">
      <alignment horizontal="center" vertical="center" wrapText="1"/>
    </xf>
    <xf numFmtId="10" fontId="8" fillId="0" borderId="1" xfId="2" applyNumberFormat="1" applyFont="1" applyBorder="1" applyAlignment="1">
      <alignment horizontal="center" vertical="center" wrapText="1"/>
    </xf>
    <xf numFmtId="10" fontId="8" fillId="5" borderId="1" xfId="2" applyNumberFormat="1" applyFont="1" applyFill="1" applyBorder="1" applyAlignment="1">
      <alignment horizontal="center" vertical="center" wrapText="1"/>
    </xf>
    <xf numFmtId="2" fontId="4" fillId="0" borderId="7" xfId="3" applyNumberFormat="1" applyFont="1" applyBorder="1" applyAlignment="1">
      <alignment horizontal="center" vertical="center" wrapText="1"/>
    </xf>
    <xf numFmtId="2" fontId="4" fillId="0" borderId="6" xfId="3" applyNumberFormat="1" applyFont="1" applyBorder="1" applyAlignment="1">
      <alignment horizontal="center" vertical="center" wrapText="1"/>
    </xf>
    <xf numFmtId="0" fontId="3" fillId="3" borderId="8"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4" xfId="0" applyFont="1" applyFill="1" applyBorder="1" applyAlignment="1">
      <alignment horizontal="left" vertical="center" wrapText="1"/>
    </xf>
  </cellXfs>
  <cellStyles count="8">
    <cellStyle name="Comma" xfId="1" builtinId="3"/>
    <cellStyle name="Comma 19" xfId="5" xr:uid="{1B82EE87-BBDE-48F4-98B1-003FF2658365}"/>
    <cellStyle name="Normal" xfId="0" builtinId="0"/>
    <cellStyle name="Normal 15 2 2" xfId="3" xr:uid="{1953F1A5-2AA4-4505-B42E-387B643A2C5E}"/>
    <cellStyle name="Normal 3 2" xfId="7" xr:uid="{BB705E63-6AFC-4D35-924C-23F9AA877C2F}"/>
    <cellStyle name="Normal 5" xfId="6" xr:uid="{BF37E762-5EFA-413F-BEE8-769B49C07C80}"/>
    <cellStyle name="Normal_Xl0000061" xfId="4" xr:uid="{E60D8FC2-8C5E-493B-B8FC-B5915C5FD0F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umeet S Aggarwal" id="{47AFA3A2-A4A5-43D7-8ED2-56796CD4B205}" userId="3816d55c7ccee4e1"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3" dT="2026-06-23T12:13:39.66" personId="{47AFA3A2-A4A5-43D7-8ED2-56796CD4B205}" id="{A879A721-1FD3-45C5-A0B4-1504C2BE4A32}">
    <text>Amount / Rate</text>
  </threadedComment>
</ThreadedComments>
</file>

<file path=xl/threadedComments/threadedComment2.xml><?xml version="1.0" encoding="utf-8"?>
<ThreadedComments xmlns="http://schemas.microsoft.com/office/spreadsheetml/2018/threadedcomments" xmlns:x="http://schemas.openxmlformats.org/spreadsheetml/2006/main">
  <threadedComment ref="L3" dT="2026-06-23T12:13:39.66" personId="{47AFA3A2-A4A5-43D7-8ED2-56796CD4B205}" id="{587E8B8C-7D80-4282-9C87-552E9A7E4B21}">
    <text>Amount / Rate</text>
  </threadedComment>
  <threadedComment ref="P3" dT="2026-06-23T12:13:39.66" personId="{47AFA3A2-A4A5-43D7-8ED2-56796CD4B205}" id="{50127652-9A1F-4571-B24E-1B6E152F4C24}">
    <text>Amount / Rate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FFE4-444C-471D-83A8-3E02ABAA6049}">
  <dimension ref="A1:K160"/>
  <sheetViews>
    <sheetView tabSelected="1" view="pageBreakPreview" topLeftCell="A46" zoomScaleNormal="100" zoomScaleSheetLayoutView="100" workbookViewId="0">
      <selection activeCell="C1" sqref="C1"/>
    </sheetView>
  </sheetViews>
  <sheetFormatPr defaultRowHeight="16.5" x14ac:dyDescent="0.3"/>
  <cols>
    <col min="1" max="1" width="6" bestFit="1" customWidth="1"/>
    <col min="2" max="3" width="10.375" customWidth="1"/>
    <col min="4" max="4" width="59.875" customWidth="1"/>
    <col min="5" max="5" width="17.5" bestFit="1" customWidth="1"/>
    <col min="8" max="8" width="12.75" style="8" customWidth="1"/>
    <col min="10" max="10" width="11.625" customWidth="1"/>
  </cols>
  <sheetData>
    <row r="1" spans="1:11" ht="33" x14ac:dyDescent="0.3">
      <c r="A1" s="1" t="s">
        <v>0</v>
      </c>
      <c r="B1" s="1" t="s">
        <v>31</v>
      </c>
      <c r="C1" s="1" t="s">
        <v>100</v>
      </c>
      <c r="D1" s="2" t="s">
        <v>39</v>
      </c>
      <c r="E1" s="17" t="s">
        <v>38</v>
      </c>
      <c r="F1" s="1" t="s">
        <v>1</v>
      </c>
      <c r="G1" s="1" t="s">
        <v>2</v>
      </c>
      <c r="H1" s="18" t="s">
        <v>46</v>
      </c>
      <c r="I1" s="1" t="s">
        <v>3</v>
      </c>
      <c r="J1" s="1" t="s">
        <v>4</v>
      </c>
    </row>
    <row r="2" spans="1:11" x14ac:dyDescent="0.3">
      <c r="A2" s="10">
        <v>1</v>
      </c>
      <c r="B2" s="11"/>
      <c r="C2" s="11"/>
      <c r="D2" s="40" t="s">
        <v>5</v>
      </c>
      <c r="E2" s="41"/>
      <c r="F2" s="41"/>
      <c r="G2" s="41"/>
      <c r="H2" s="41"/>
      <c r="I2" s="41"/>
      <c r="J2" s="41"/>
    </row>
    <row r="3" spans="1:11" ht="63" x14ac:dyDescent="0.3">
      <c r="A3" s="20">
        <f>A2+0.01</f>
        <v>1.01</v>
      </c>
      <c r="B3" s="20" t="s">
        <v>32</v>
      </c>
      <c r="C3" s="20"/>
      <c r="D3" s="21" t="s">
        <v>6</v>
      </c>
      <c r="E3" s="22"/>
      <c r="F3" s="23">
        <v>472</v>
      </c>
      <c r="G3" s="23" t="s">
        <v>7</v>
      </c>
      <c r="H3" s="24"/>
      <c r="I3" s="23">
        <v>108</v>
      </c>
      <c r="J3" s="23">
        <f>I3*F3</f>
        <v>50976</v>
      </c>
      <c r="K3" s="7"/>
    </row>
    <row r="4" spans="1:11" x14ac:dyDescent="0.3">
      <c r="A4" s="38"/>
      <c r="B4" s="38"/>
      <c r="C4" s="9"/>
      <c r="D4" s="12"/>
      <c r="E4" s="14" t="s">
        <v>41</v>
      </c>
      <c r="F4" s="15">
        <f t="shared" ref="F4:F10" si="0">F3</f>
        <v>472</v>
      </c>
      <c r="G4" s="15" t="s">
        <v>7</v>
      </c>
      <c r="H4" s="16">
        <v>0.3</v>
      </c>
      <c r="I4" s="15">
        <f>H4*$I$3</f>
        <v>32.4</v>
      </c>
      <c r="J4" s="15">
        <f>F4*I4</f>
        <v>15292.8</v>
      </c>
    </row>
    <row r="5" spans="1:11" x14ac:dyDescent="0.3">
      <c r="A5" s="38"/>
      <c r="B5" s="38"/>
      <c r="C5" s="9"/>
      <c r="D5" s="12"/>
      <c r="E5" s="14" t="s">
        <v>42</v>
      </c>
      <c r="F5" s="15">
        <f t="shared" si="0"/>
        <v>472</v>
      </c>
      <c r="G5" s="15" t="s">
        <v>7</v>
      </c>
      <c r="H5" s="16">
        <v>0.15</v>
      </c>
      <c r="I5" s="15">
        <f t="shared" ref="I5:I10" si="1">H5*$I$3</f>
        <v>16.2</v>
      </c>
      <c r="J5" s="15">
        <f t="shared" ref="J5:J10" si="2">F5*I5</f>
        <v>7646.4</v>
      </c>
    </row>
    <row r="6" spans="1:11" x14ac:dyDescent="0.3">
      <c r="A6" s="38"/>
      <c r="B6" s="38"/>
      <c r="C6" s="9"/>
      <c r="D6" s="12"/>
      <c r="E6" s="14" t="s">
        <v>47</v>
      </c>
      <c r="F6" s="15">
        <f t="shared" si="0"/>
        <v>472</v>
      </c>
      <c r="G6" s="15" t="s">
        <v>7</v>
      </c>
      <c r="H6" s="16">
        <v>0.1</v>
      </c>
      <c r="I6" s="15">
        <f t="shared" si="1"/>
        <v>10.8</v>
      </c>
      <c r="J6" s="15">
        <f t="shared" si="2"/>
        <v>5097.6000000000004</v>
      </c>
    </row>
    <row r="7" spans="1:11" x14ac:dyDescent="0.3">
      <c r="A7" s="38"/>
      <c r="B7" s="38"/>
      <c r="C7" s="9"/>
      <c r="D7" s="12"/>
      <c r="E7" s="14" t="s">
        <v>43</v>
      </c>
      <c r="F7" s="15">
        <f t="shared" si="0"/>
        <v>472</v>
      </c>
      <c r="G7" s="15" t="s">
        <v>7</v>
      </c>
      <c r="H7" s="16">
        <v>0.15</v>
      </c>
      <c r="I7" s="15">
        <f t="shared" si="1"/>
        <v>16.2</v>
      </c>
      <c r="J7" s="15">
        <f t="shared" si="2"/>
        <v>7646.4</v>
      </c>
    </row>
    <row r="8" spans="1:11" x14ac:dyDescent="0.3">
      <c r="A8" s="38"/>
      <c r="B8" s="38"/>
      <c r="C8" s="9"/>
      <c r="D8" s="12"/>
      <c r="E8" s="14" t="s">
        <v>44</v>
      </c>
      <c r="F8" s="15">
        <f t="shared" si="0"/>
        <v>472</v>
      </c>
      <c r="G8" s="15" t="s">
        <v>7</v>
      </c>
      <c r="H8" s="16">
        <v>0.15</v>
      </c>
      <c r="I8" s="15">
        <f t="shared" si="1"/>
        <v>16.2</v>
      </c>
      <c r="J8" s="15">
        <f t="shared" si="2"/>
        <v>7646.4</v>
      </c>
    </row>
    <row r="9" spans="1:11" x14ac:dyDescent="0.3">
      <c r="A9" s="38"/>
      <c r="B9" s="38"/>
      <c r="C9" s="9"/>
      <c r="D9" s="12"/>
      <c r="E9" s="14" t="s">
        <v>45</v>
      </c>
      <c r="F9" s="15">
        <f t="shared" si="0"/>
        <v>472</v>
      </c>
      <c r="G9" s="15" t="s">
        <v>7</v>
      </c>
      <c r="H9" s="16">
        <v>0.1</v>
      </c>
      <c r="I9" s="15">
        <f t="shared" si="1"/>
        <v>10.8</v>
      </c>
      <c r="J9" s="15">
        <f t="shared" si="2"/>
        <v>5097.6000000000004</v>
      </c>
    </row>
    <row r="10" spans="1:11" x14ac:dyDescent="0.3">
      <c r="A10" s="39"/>
      <c r="B10" s="39"/>
      <c r="C10" s="6"/>
      <c r="D10" s="13"/>
      <c r="E10" s="14" t="s">
        <v>40</v>
      </c>
      <c r="F10" s="15">
        <f t="shared" si="0"/>
        <v>472</v>
      </c>
      <c r="G10" s="15" t="s">
        <v>7</v>
      </c>
      <c r="H10" s="16">
        <v>0.05</v>
      </c>
      <c r="I10" s="15">
        <f t="shared" si="1"/>
        <v>5.4</v>
      </c>
      <c r="J10" s="15">
        <f t="shared" si="2"/>
        <v>2548.8000000000002</v>
      </c>
    </row>
    <row r="11" spans="1:11" ht="63" x14ac:dyDescent="0.3">
      <c r="A11" s="20">
        <f>A3+0.01</f>
        <v>1.02</v>
      </c>
      <c r="B11" s="20" t="s">
        <v>32</v>
      </c>
      <c r="C11" s="20"/>
      <c r="D11" s="21" t="s">
        <v>8</v>
      </c>
      <c r="E11" s="22"/>
      <c r="F11" s="23">
        <v>72</v>
      </c>
      <c r="G11" s="23" t="s">
        <v>7</v>
      </c>
      <c r="H11" s="24"/>
      <c r="I11" s="23">
        <v>210</v>
      </c>
      <c r="J11" s="23">
        <f t="shared" ref="J11:J28" si="3">I11*F11</f>
        <v>15120</v>
      </c>
      <c r="K11" s="7"/>
    </row>
    <row r="12" spans="1:11" x14ac:dyDescent="0.3">
      <c r="A12" s="38"/>
      <c r="B12" s="38"/>
      <c r="C12" s="9"/>
      <c r="D12" s="12"/>
      <c r="E12" s="14" t="s">
        <v>41</v>
      </c>
      <c r="F12" s="15">
        <f t="shared" ref="F12:F19" si="4">F11</f>
        <v>72</v>
      </c>
      <c r="G12" s="15" t="s">
        <v>7</v>
      </c>
      <c r="H12" s="16">
        <v>0.15</v>
      </c>
      <c r="I12" s="15">
        <f>H12*$I$11</f>
        <v>31.5</v>
      </c>
      <c r="J12" s="15">
        <f>F12*I12</f>
        <v>2268</v>
      </c>
    </row>
    <row r="13" spans="1:11" x14ac:dyDescent="0.3">
      <c r="A13" s="38"/>
      <c r="B13" s="38"/>
      <c r="C13" s="9"/>
      <c r="D13" s="12"/>
      <c r="E13" s="14" t="s">
        <v>48</v>
      </c>
      <c r="F13" s="15">
        <f t="shared" si="4"/>
        <v>72</v>
      </c>
      <c r="G13" s="15" t="s">
        <v>7</v>
      </c>
      <c r="H13" s="16">
        <v>0.15</v>
      </c>
      <c r="I13" s="15">
        <f>H13*$I$11</f>
        <v>31.5</v>
      </c>
      <c r="J13" s="15">
        <f>F13*I13</f>
        <v>2268</v>
      </c>
    </row>
    <row r="14" spans="1:11" x14ac:dyDescent="0.3">
      <c r="A14" s="38"/>
      <c r="B14" s="38"/>
      <c r="C14" s="9"/>
      <c r="D14" s="12"/>
      <c r="E14" s="14" t="s">
        <v>42</v>
      </c>
      <c r="F14" s="15">
        <f t="shared" si="4"/>
        <v>72</v>
      </c>
      <c r="G14" s="15" t="s">
        <v>7</v>
      </c>
      <c r="H14" s="16">
        <v>0.15</v>
      </c>
      <c r="I14" s="15">
        <f t="shared" ref="I14:I19" si="5">H14*$I$11</f>
        <v>31.5</v>
      </c>
      <c r="J14" s="15">
        <f t="shared" ref="J14:J19" si="6">F14*I14</f>
        <v>2268</v>
      </c>
    </row>
    <row r="15" spans="1:11" x14ac:dyDescent="0.3">
      <c r="A15" s="38"/>
      <c r="B15" s="38"/>
      <c r="C15" s="9"/>
      <c r="D15" s="12"/>
      <c r="E15" s="14" t="s">
        <v>47</v>
      </c>
      <c r="F15" s="15">
        <f t="shared" si="4"/>
        <v>72</v>
      </c>
      <c r="G15" s="15" t="s">
        <v>7</v>
      </c>
      <c r="H15" s="16">
        <v>0.1</v>
      </c>
      <c r="I15" s="15">
        <f t="shared" si="5"/>
        <v>21</v>
      </c>
      <c r="J15" s="15">
        <f t="shared" si="6"/>
        <v>1512</v>
      </c>
    </row>
    <row r="16" spans="1:11" x14ac:dyDescent="0.3">
      <c r="A16" s="38"/>
      <c r="B16" s="38"/>
      <c r="C16" s="9"/>
      <c r="D16" s="12"/>
      <c r="E16" s="14" t="s">
        <v>43</v>
      </c>
      <c r="F16" s="15">
        <f t="shared" si="4"/>
        <v>72</v>
      </c>
      <c r="G16" s="15" t="s">
        <v>7</v>
      </c>
      <c r="H16" s="16">
        <v>0.15</v>
      </c>
      <c r="I16" s="15">
        <f t="shared" si="5"/>
        <v>31.5</v>
      </c>
      <c r="J16" s="15">
        <f t="shared" si="6"/>
        <v>2268</v>
      </c>
    </row>
    <row r="17" spans="1:11" x14ac:dyDescent="0.3">
      <c r="A17" s="38"/>
      <c r="B17" s="38"/>
      <c r="C17" s="9"/>
      <c r="D17" s="12"/>
      <c r="E17" s="14" t="s">
        <v>44</v>
      </c>
      <c r="F17" s="15">
        <f t="shared" si="4"/>
        <v>72</v>
      </c>
      <c r="G17" s="15" t="s">
        <v>7</v>
      </c>
      <c r="H17" s="16">
        <v>0.15</v>
      </c>
      <c r="I17" s="15">
        <f t="shared" si="5"/>
        <v>31.5</v>
      </c>
      <c r="J17" s="15">
        <f t="shared" si="6"/>
        <v>2268</v>
      </c>
    </row>
    <row r="18" spans="1:11" x14ac:dyDescent="0.3">
      <c r="A18" s="38"/>
      <c r="B18" s="38"/>
      <c r="C18" s="9"/>
      <c r="D18" s="12"/>
      <c r="E18" s="14" t="s">
        <v>45</v>
      </c>
      <c r="F18" s="15">
        <f t="shared" si="4"/>
        <v>72</v>
      </c>
      <c r="G18" s="15" t="s">
        <v>7</v>
      </c>
      <c r="H18" s="16">
        <v>0.1</v>
      </c>
      <c r="I18" s="15">
        <f t="shared" si="5"/>
        <v>21</v>
      </c>
      <c r="J18" s="15">
        <f t="shared" si="6"/>
        <v>1512</v>
      </c>
    </row>
    <row r="19" spans="1:11" x14ac:dyDescent="0.3">
      <c r="A19" s="39"/>
      <c r="B19" s="39"/>
      <c r="C19" s="6"/>
      <c r="D19" s="13"/>
      <c r="E19" s="14" t="s">
        <v>40</v>
      </c>
      <c r="F19" s="15">
        <f t="shared" si="4"/>
        <v>72</v>
      </c>
      <c r="G19" s="15" t="s">
        <v>7</v>
      </c>
      <c r="H19" s="16">
        <v>0.05</v>
      </c>
      <c r="I19" s="15">
        <f t="shared" si="5"/>
        <v>10.5</v>
      </c>
      <c r="J19" s="15">
        <f t="shared" si="6"/>
        <v>756</v>
      </c>
    </row>
    <row r="20" spans="1:11" ht="63" x14ac:dyDescent="0.3">
      <c r="A20" s="20">
        <f>A11+0.01</f>
        <v>1.03</v>
      </c>
      <c r="B20" s="20" t="s">
        <v>32</v>
      </c>
      <c r="C20" s="20"/>
      <c r="D20" s="21" t="s">
        <v>9</v>
      </c>
      <c r="E20" s="22"/>
      <c r="F20" s="23">
        <v>13.2</v>
      </c>
      <c r="G20" s="23" t="s">
        <v>7</v>
      </c>
      <c r="H20" s="24"/>
      <c r="I20" s="23">
        <v>110</v>
      </c>
      <c r="J20" s="23">
        <f t="shared" si="3"/>
        <v>1452</v>
      </c>
      <c r="K20" s="7"/>
    </row>
    <row r="21" spans="1:11" x14ac:dyDescent="0.3">
      <c r="A21" s="38"/>
      <c r="B21" s="38"/>
      <c r="C21" s="9"/>
      <c r="D21" s="12"/>
      <c r="E21" s="14" t="s">
        <v>41</v>
      </c>
      <c r="F21" s="15">
        <f t="shared" ref="F21:F27" si="7">F20</f>
        <v>13.2</v>
      </c>
      <c r="G21" s="15" t="s">
        <v>7</v>
      </c>
      <c r="H21" s="16">
        <v>0.3</v>
      </c>
      <c r="I21" s="15">
        <f>H21*$I$20</f>
        <v>33</v>
      </c>
      <c r="J21" s="15">
        <f>F21*I21</f>
        <v>435.59999999999997</v>
      </c>
    </row>
    <row r="22" spans="1:11" x14ac:dyDescent="0.3">
      <c r="A22" s="38"/>
      <c r="B22" s="38"/>
      <c r="C22" s="9"/>
      <c r="D22" s="12"/>
      <c r="E22" s="14" t="s">
        <v>42</v>
      </c>
      <c r="F22" s="15">
        <f t="shared" si="7"/>
        <v>13.2</v>
      </c>
      <c r="G22" s="15" t="s">
        <v>7</v>
      </c>
      <c r="H22" s="16">
        <v>0.15</v>
      </c>
      <c r="I22" s="15">
        <f t="shared" ref="I22:I27" si="8">H22*$I$20</f>
        <v>16.5</v>
      </c>
      <c r="J22" s="15">
        <f t="shared" ref="J22:J27" si="9">F22*I22</f>
        <v>217.79999999999998</v>
      </c>
    </row>
    <row r="23" spans="1:11" x14ac:dyDescent="0.3">
      <c r="A23" s="38"/>
      <c r="B23" s="38"/>
      <c r="C23" s="9"/>
      <c r="D23" s="12"/>
      <c r="E23" s="14" t="s">
        <v>47</v>
      </c>
      <c r="F23" s="15">
        <f t="shared" si="7"/>
        <v>13.2</v>
      </c>
      <c r="G23" s="15" t="s">
        <v>7</v>
      </c>
      <c r="H23" s="16">
        <v>0.1</v>
      </c>
      <c r="I23" s="15">
        <f t="shared" si="8"/>
        <v>11</v>
      </c>
      <c r="J23" s="15">
        <f t="shared" si="9"/>
        <v>145.19999999999999</v>
      </c>
    </row>
    <row r="24" spans="1:11" x14ac:dyDescent="0.3">
      <c r="A24" s="38"/>
      <c r="B24" s="38"/>
      <c r="C24" s="9"/>
      <c r="D24" s="12"/>
      <c r="E24" s="14" t="s">
        <v>43</v>
      </c>
      <c r="F24" s="15">
        <f t="shared" si="7"/>
        <v>13.2</v>
      </c>
      <c r="G24" s="15" t="s">
        <v>7</v>
      </c>
      <c r="H24" s="16">
        <v>0.15</v>
      </c>
      <c r="I24" s="15">
        <f t="shared" si="8"/>
        <v>16.5</v>
      </c>
      <c r="J24" s="15">
        <f t="shared" si="9"/>
        <v>217.79999999999998</v>
      </c>
    </row>
    <row r="25" spans="1:11" x14ac:dyDescent="0.3">
      <c r="A25" s="38"/>
      <c r="B25" s="38"/>
      <c r="C25" s="9"/>
      <c r="D25" s="12"/>
      <c r="E25" s="14" t="s">
        <v>44</v>
      </c>
      <c r="F25" s="15">
        <f t="shared" si="7"/>
        <v>13.2</v>
      </c>
      <c r="G25" s="15" t="s">
        <v>7</v>
      </c>
      <c r="H25" s="16">
        <v>0.15</v>
      </c>
      <c r="I25" s="15">
        <f t="shared" si="8"/>
        <v>16.5</v>
      </c>
      <c r="J25" s="15">
        <f t="shared" si="9"/>
        <v>217.79999999999998</v>
      </c>
    </row>
    <row r="26" spans="1:11" x14ac:dyDescent="0.3">
      <c r="A26" s="38"/>
      <c r="B26" s="38"/>
      <c r="C26" s="9"/>
      <c r="D26" s="12"/>
      <c r="E26" s="14" t="s">
        <v>45</v>
      </c>
      <c r="F26" s="15">
        <f t="shared" si="7"/>
        <v>13.2</v>
      </c>
      <c r="G26" s="15" t="s">
        <v>7</v>
      </c>
      <c r="H26" s="16">
        <v>0.1</v>
      </c>
      <c r="I26" s="15">
        <f t="shared" si="8"/>
        <v>11</v>
      </c>
      <c r="J26" s="15">
        <f t="shared" si="9"/>
        <v>145.19999999999999</v>
      </c>
    </row>
    <row r="27" spans="1:11" x14ac:dyDescent="0.3">
      <c r="A27" s="39"/>
      <c r="B27" s="39"/>
      <c r="C27" s="6"/>
      <c r="D27" s="13"/>
      <c r="E27" s="14" t="s">
        <v>40</v>
      </c>
      <c r="F27" s="15">
        <f t="shared" si="7"/>
        <v>13.2</v>
      </c>
      <c r="G27" s="15" t="s">
        <v>7</v>
      </c>
      <c r="H27" s="16">
        <v>0.05</v>
      </c>
      <c r="I27" s="15">
        <f t="shared" si="8"/>
        <v>5.5</v>
      </c>
      <c r="J27" s="15">
        <f t="shared" si="9"/>
        <v>72.599999999999994</v>
      </c>
    </row>
    <row r="28" spans="1:11" ht="63" x14ac:dyDescent="0.3">
      <c r="A28" s="20">
        <f t="shared" ref="A28" si="10">A20+0.01</f>
        <v>1.04</v>
      </c>
      <c r="B28" s="20" t="s">
        <v>32</v>
      </c>
      <c r="C28" s="20"/>
      <c r="D28" s="21" t="s">
        <v>10</v>
      </c>
      <c r="E28" s="22"/>
      <c r="F28" s="23">
        <v>188</v>
      </c>
      <c r="G28" s="23" t="s">
        <v>7</v>
      </c>
      <c r="H28" s="24"/>
      <c r="I28" s="23">
        <v>95</v>
      </c>
      <c r="J28" s="23">
        <f t="shared" si="3"/>
        <v>17860</v>
      </c>
      <c r="K28" s="7"/>
    </row>
    <row r="29" spans="1:11" x14ac:dyDescent="0.3">
      <c r="A29" s="38"/>
      <c r="B29" s="38"/>
      <c r="C29" s="9"/>
      <c r="D29" s="12"/>
      <c r="E29" s="14" t="s">
        <v>41</v>
      </c>
      <c r="F29" s="15">
        <f>F28</f>
        <v>188</v>
      </c>
      <c r="G29" s="15" t="s">
        <v>7</v>
      </c>
      <c r="H29" s="16">
        <v>0.3</v>
      </c>
      <c r="I29" s="15">
        <f>H29*$I$28</f>
        <v>28.5</v>
      </c>
      <c r="J29" s="15">
        <f>F29*I29</f>
        <v>5358</v>
      </c>
    </row>
    <row r="30" spans="1:11" x14ac:dyDescent="0.3">
      <c r="A30" s="38"/>
      <c r="B30" s="38"/>
      <c r="C30" s="9"/>
      <c r="D30" s="12"/>
      <c r="E30" s="14" t="s">
        <v>42</v>
      </c>
      <c r="F30" s="15">
        <f>F29</f>
        <v>188</v>
      </c>
      <c r="G30" s="15" t="s">
        <v>7</v>
      </c>
      <c r="H30" s="16">
        <v>0.15</v>
      </c>
      <c r="I30" s="15">
        <f>H30*$I$28</f>
        <v>14.25</v>
      </c>
      <c r="J30" s="15">
        <f t="shared" ref="J30:J33" si="11">F30*I30</f>
        <v>2679</v>
      </c>
    </row>
    <row r="31" spans="1:11" x14ac:dyDescent="0.3">
      <c r="A31" s="38"/>
      <c r="B31" s="38"/>
      <c r="C31" s="9"/>
      <c r="D31" s="12"/>
      <c r="E31" s="14" t="s">
        <v>44</v>
      </c>
      <c r="F31" s="15">
        <f>F30</f>
        <v>188</v>
      </c>
      <c r="G31" s="15" t="s">
        <v>7</v>
      </c>
      <c r="H31" s="16">
        <v>0.15</v>
      </c>
      <c r="I31" s="15">
        <f>H31*$I$28</f>
        <v>14.25</v>
      </c>
      <c r="J31" s="15">
        <f t="shared" si="11"/>
        <v>2679</v>
      </c>
    </row>
    <row r="32" spans="1:11" x14ac:dyDescent="0.3">
      <c r="A32" s="38"/>
      <c r="B32" s="38"/>
      <c r="C32" s="9"/>
      <c r="D32" s="12"/>
      <c r="E32" s="14" t="s">
        <v>45</v>
      </c>
      <c r="F32" s="15">
        <f>F31</f>
        <v>188</v>
      </c>
      <c r="G32" s="15" t="s">
        <v>7</v>
      </c>
      <c r="H32" s="16">
        <v>0.1</v>
      </c>
      <c r="I32" s="15">
        <f>H32*$I$28</f>
        <v>9.5</v>
      </c>
      <c r="J32" s="15">
        <f t="shared" si="11"/>
        <v>1786</v>
      </c>
    </row>
    <row r="33" spans="1:11" x14ac:dyDescent="0.3">
      <c r="A33" s="39"/>
      <c r="B33" s="39"/>
      <c r="C33" s="6"/>
      <c r="D33" s="13"/>
      <c r="E33" s="14" t="s">
        <v>40</v>
      </c>
      <c r="F33" s="15">
        <f>F32</f>
        <v>188</v>
      </c>
      <c r="G33" s="15" t="s">
        <v>7</v>
      </c>
      <c r="H33" s="16">
        <v>0.05</v>
      </c>
      <c r="I33" s="15">
        <f>H33*$I$28</f>
        <v>4.75</v>
      </c>
      <c r="J33" s="15">
        <f t="shared" si="11"/>
        <v>893</v>
      </c>
    </row>
    <row r="34" spans="1:11" x14ac:dyDescent="0.3">
      <c r="A34" s="3">
        <v>2</v>
      </c>
      <c r="B34" s="5"/>
      <c r="C34" s="5"/>
      <c r="D34" s="42" t="s">
        <v>11</v>
      </c>
      <c r="E34" s="41"/>
      <c r="F34" s="41"/>
      <c r="G34" s="41"/>
      <c r="H34" s="41"/>
      <c r="I34" s="41"/>
      <c r="J34" s="41"/>
    </row>
    <row r="35" spans="1:11" ht="94.5" x14ac:dyDescent="0.3">
      <c r="A35" s="20">
        <f>A34+0.01</f>
        <v>2.0099999999999998</v>
      </c>
      <c r="B35" s="20" t="s">
        <v>33</v>
      </c>
      <c r="C35" s="20"/>
      <c r="D35" s="21" t="s">
        <v>29</v>
      </c>
      <c r="E35" s="22"/>
      <c r="F35" s="23">
        <v>166</v>
      </c>
      <c r="G35" s="23" t="s">
        <v>7</v>
      </c>
      <c r="H35" s="24"/>
      <c r="I35" s="23">
        <v>140</v>
      </c>
      <c r="J35" s="23">
        <f>I35*F35</f>
        <v>23240</v>
      </c>
      <c r="K35" s="7"/>
    </row>
    <row r="36" spans="1:11" ht="31.5" x14ac:dyDescent="0.3">
      <c r="A36" s="20">
        <f>A35+0.01</f>
        <v>2.0199999999999996</v>
      </c>
      <c r="B36" s="20" t="s">
        <v>33</v>
      </c>
      <c r="C36" s="20"/>
      <c r="D36" s="21" t="s">
        <v>12</v>
      </c>
      <c r="E36" s="22"/>
      <c r="F36" s="23">
        <v>166</v>
      </c>
      <c r="G36" s="23" t="s">
        <v>7</v>
      </c>
      <c r="H36" s="24"/>
      <c r="I36" s="23">
        <v>80</v>
      </c>
      <c r="J36" s="23">
        <f>I36*F36</f>
        <v>13280</v>
      </c>
      <c r="K36" s="7"/>
    </row>
    <row r="37" spans="1:11" x14ac:dyDescent="0.3">
      <c r="A37" s="9"/>
      <c r="B37" s="9"/>
      <c r="C37" s="9"/>
      <c r="D37" s="19"/>
      <c r="E37" s="14" t="s">
        <v>49</v>
      </c>
      <c r="F37" s="15">
        <f>F36</f>
        <v>166</v>
      </c>
      <c r="G37" s="15" t="s">
        <v>7</v>
      </c>
      <c r="H37" s="16">
        <v>0.6</v>
      </c>
      <c r="I37" s="15">
        <f>H37*$I$36</f>
        <v>48</v>
      </c>
      <c r="J37" s="15">
        <f>F37*I37</f>
        <v>7968</v>
      </c>
    </row>
    <row r="38" spans="1:11" x14ac:dyDescent="0.3">
      <c r="A38" s="6"/>
      <c r="B38" s="6"/>
      <c r="C38" s="6"/>
      <c r="D38" s="4"/>
      <c r="E38" s="14" t="s">
        <v>50</v>
      </c>
      <c r="F38" s="15">
        <f>F37</f>
        <v>166</v>
      </c>
      <c r="G38" s="15" t="s">
        <v>7</v>
      </c>
      <c r="H38" s="16">
        <v>0.4</v>
      </c>
      <c r="I38" s="15">
        <f>H38*$I$36</f>
        <v>32</v>
      </c>
      <c r="J38" s="15">
        <f>F38*I38</f>
        <v>5312</v>
      </c>
    </row>
    <row r="39" spans="1:11" ht="47.25" x14ac:dyDescent="0.3">
      <c r="A39" s="20">
        <f>A36+0.01</f>
        <v>2.0299999999999994</v>
      </c>
      <c r="B39" s="20" t="s">
        <v>33</v>
      </c>
      <c r="C39" s="20"/>
      <c r="D39" s="21" t="s">
        <v>30</v>
      </c>
      <c r="E39" s="22"/>
      <c r="F39" s="23">
        <v>52</v>
      </c>
      <c r="G39" s="23" t="s">
        <v>7</v>
      </c>
      <c r="H39" s="24"/>
      <c r="I39" s="23">
        <v>165</v>
      </c>
      <c r="J39" s="23">
        <f>I39*F39</f>
        <v>8580</v>
      </c>
      <c r="K39" s="7"/>
    </row>
    <row r="40" spans="1:11" x14ac:dyDescent="0.3">
      <c r="A40" s="9"/>
      <c r="B40" s="9"/>
      <c r="C40" s="9"/>
      <c r="D40" s="19"/>
      <c r="E40" s="14" t="s">
        <v>51</v>
      </c>
      <c r="F40" s="15">
        <f>F39</f>
        <v>52</v>
      </c>
      <c r="G40" s="15" t="s">
        <v>7</v>
      </c>
      <c r="H40" s="16">
        <v>0.9</v>
      </c>
      <c r="I40" s="15">
        <f>H40*$I$39</f>
        <v>148.5</v>
      </c>
      <c r="J40" s="15">
        <f>F40*I40</f>
        <v>7722</v>
      </c>
    </row>
    <row r="41" spans="1:11" x14ac:dyDescent="0.3">
      <c r="A41" s="9"/>
      <c r="B41" s="9"/>
      <c r="C41" s="9"/>
      <c r="D41" s="19"/>
      <c r="E41" s="14" t="s">
        <v>52</v>
      </c>
      <c r="F41" s="15">
        <f>F40</f>
        <v>52</v>
      </c>
      <c r="G41" s="15" t="s">
        <v>7</v>
      </c>
      <c r="H41" s="16">
        <v>0.1</v>
      </c>
      <c r="I41" s="15">
        <f>H41*$I$39</f>
        <v>16.5</v>
      </c>
      <c r="J41" s="15">
        <f>F41*I41</f>
        <v>858</v>
      </c>
    </row>
    <row r="42" spans="1:11" ht="63" x14ac:dyDescent="0.3">
      <c r="A42" s="20">
        <f>A39+0.01</f>
        <v>2.0399999999999991</v>
      </c>
      <c r="B42" s="20" t="s">
        <v>33</v>
      </c>
      <c r="C42" s="20"/>
      <c r="D42" s="21" t="s">
        <v>53</v>
      </c>
      <c r="E42" s="22"/>
      <c r="F42" s="23">
        <v>18</v>
      </c>
      <c r="G42" s="23" t="s">
        <v>7</v>
      </c>
      <c r="H42" s="24"/>
      <c r="I42" s="23">
        <v>145</v>
      </c>
      <c r="J42" s="23">
        <f>I42*F42</f>
        <v>2610</v>
      </c>
      <c r="K42" s="7"/>
    </row>
    <row r="43" spans="1:11" x14ac:dyDescent="0.3">
      <c r="A43" s="9"/>
      <c r="B43" s="9"/>
      <c r="C43" s="9"/>
      <c r="D43" s="19"/>
      <c r="E43" s="14" t="s">
        <v>51</v>
      </c>
      <c r="F43" s="15">
        <f>F42</f>
        <v>18</v>
      </c>
      <c r="G43" s="15" t="s">
        <v>7</v>
      </c>
      <c r="H43" s="16">
        <v>0.9</v>
      </c>
      <c r="I43" s="15">
        <f>H43*$I$42</f>
        <v>130.5</v>
      </c>
      <c r="J43" s="15">
        <f>F43*I43</f>
        <v>2349</v>
      </c>
    </row>
    <row r="44" spans="1:11" x14ac:dyDescent="0.3">
      <c r="A44" s="9"/>
      <c r="B44" s="9"/>
      <c r="C44" s="9"/>
      <c r="D44" s="19"/>
      <c r="E44" s="14" t="s">
        <v>52</v>
      </c>
      <c r="F44" s="15">
        <f>F43</f>
        <v>18</v>
      </c>
      <c r="G44" s="15" t="s">
        <v>7</v>
      </c>
      <c r="H44" s="16">
        <v>0.1</v>
      </c>
      <c r="I44" s="15">
        <f>H44*$I$42</f>
        <v>14.5</v>
      </c>
      <c r="J44" s="15">
        <f>F44*I44</f>
        <v>261</v>
      </c>
    </row>
    <row r="45" spans="1:11" ht="31.5" x14ac:dyDescent="0.3">
      <c r="A45" s="20">
        <f>A42+0.01</f>
        <v>2.0499999999999989</v>
      </c>
      <c r="B45" s="20" t="s">
        <v>33</v>
      </c>
      <c r="C45" s="20"/>
      <c r="D45" s="21" t="s">
        <v>13</v>
      </c>
      <c r="E45" s="22"/>
      <c r="F45" s="23">
        <v>299</v>
      </c>
      <c r="G45" s="23" t="s">
        <v>14</v>
      </c>
      <c r="H45" s="24"/>
      <c r="I45" s="23">
        <v>60</v>
      </c>
      <c r="J45" s="23">
        <f>I45*F45</f>
        <v>17940</v>
      </c>
      <c r="K45" s="7"/>
    </row>
    <row r="46" spans="1:11" x14ac:dyDescent="0.3">
      <c r="A46" s="9"/>
      <c r="B46" s="9"/>
      <c r="C46" s="9"/>
      <c r="D46" s="19"/>
      <c r="E46" s="14" t="s">
        <v>54</v>
      </c>
      <c r="F46" s="15">
        <f>F45</f>
        <v>299</v>
      </c>
      <c r="G46" s="15" t="s">
        <v>7</v>
      </c>
      <c r="H46" s="16">
        <v>0.9</v>
      </c>
      <c r="I46" s="15">
        <f>H46*$I$45</f>
        <v>54</v>
      </c>
      <c r="J46" s="15">
        <f>F46*I46</f>
        <v>16146</v>
      </c>
    </row>
    <row r="47" spans="1:11" x14ac:dyDescent="0.3">
      <c r="A47" s="9"/>
      <c r="B47" s="9"/>
      <c r="C47" s="9"/>
      <c r="D47" s="19"/>
      <c r="E47" s="14" t="s">
        <v>52</v>
      </c>
      <c r="F47" s="15">
        <f>F46</f>
        <v>299</v>
      </c>
      <c r="G47" s="15" t="s">
        <v>7</v>
      </c>
      <c r="H47" s="16">
        <v>0.1</v>
      </c>
      <c r="I47" s="15">
        <f>H47*$I$45</f>
        <v>6</v>
      </c>
      <c r="J47" s="15">
        <f>F47*I47</f>
        <v>1794</v>
      </c>
    </row>
    <row r="48" spans="1:11" ht="47.25" x14ac:dyDescent="0.3">
      <c r="A48" s="20">
        <f>A45+0.01</f>
        <v>2.0599999999999987</v>
      </c>
      <c r="B48" s="20" t="s">
        <v>33</v>
      </c>
      <c r="C48" s="20"/>
      <c r="D48" s="21" t="s">
        <v>15</v>
      </c>
      <c r="E48" s="22"/>
      <c r="F48" s="23">
        <v>12</v>
      </c>
      <c r="G48" s="23" t="s">
        <v>14</v>
      </c>
      <c r="H48" s="24"/>
      <c r="I48" s="23">
        <v>90</v>
      </c>
      <c r="J48" s="23">
        <f>I48*F48</f>
        <v>1080</v>
      </c>
      <c r="K48" s="7"/>
    </row>
    <row r="49" spans="1:11" x14ac:dyDescent="0.3">
      <c r="A49" s="3">
        <v>3</v>
      </c>
      <c r="B49" s="5"/>
      <c r="C49" s="5"/>
      <c r="D49" s="42" t="s">
        <v>17</v>
      </c>
      <c r="E49" s="41"/>
      <c r="F49" s="41"/>
      <c r="G49" s="41"/>
      <c r="H49" s="41"/>
      <c r="I49" s="41"/>
      <c r="J49" s="41"/>
    </row>
    <row r="50" spans="1:11" ht="63" x14ac:dyDescent="0.3">
      <c r="A50" s="20">
        <f>A49+0.01</f>
        <v>3.01</v>
      </c>
      <c r="B50" s="20" t="s">
        <v>34</v>
      </c>
      <c r="C50" s="20"/>
      <c r="D50" s="21" t="s">
        <v>18</v>
      </c>
      <c r="E50" s="22"/>
      <c r="F50" s="23">
        <v>105</v>
      </c>
      <c r="G50" s="23" t="s">
        <v>7</v>
      </c>
      <c r="H50" s="24"/>
      <c r="I50" s="23">
        <v>30</v>
      </c>
      <c r="J50" s="23">
        <f>I50*F50</f>
        <v>3150</v>
      </c>
      <c r="K50" s="7"/>
    </row>
    <row r="51" spans="1:11" x14ac:dyDescent="0.3">
      <c r="A51" s="9"/>
      <c r="B51" s="9"/>
      <c r="C51" s="9"/>
      <c r="D51" s="19"/>
      <c r="E51" s="14" t="s">
        <v>55</v>
      </c>
      <c r="F51" s="15">
        <f>F50</f>
        <v>105</v>
      </c>
      <c r="G51" s="15" t="s">
        <v>7</v>
      </c>
      <c r="H51" s="16">
        <v>0.15</v>
      </c>
      <c r="I51" s="15">
        <f>H51*$I$50</f>
        <v>4.5</v>
      </c>
      <c r="J51" s="15">
        <f>F51*I51</f>
        <v>472.5</v>
      </c>
    </row>
    <row r="52" spans="1:11" x14ac:dyDescent="0.3">
      <c r="A52" s="9"/>
      <c r="B52" s="9"/>
      <c r="C52" s="9"/>
      <c r="D52" s="19"/>
      <c r="E52" s="14" t="s">
        <v>56</v>
      </c>
      <c r="F52" s="15">
        <f>F51</f>
        <v>105</v>
      </c>
      <c r="G52" s="15" t="s">
        <v>7</v>
      </c>
      <c r="H52" s="16">
        <v>0.2</v>
      </c>
      <c r="I52" s="15">
        <f t="shared" ref="I52:I55" si="12">H52*$I$50</f>
        <v>6</v>
      </c>
      <c r="J52" s="15">
        <f t="shared" ref="J52:J55" si="13">F52*I52</f>
        <v>630</v>
      </c>
    </row>
    <row r="53" spans="1:11" x14ac:dyDescent="0.3">
      <c r="A53" s="9"/>
      <c r="B53" s="9"/>
      <c r="C53" s="9"/>
      <c r="D53" s="19"/>
      <c r="E53" s="14" t="s">
        <v>57</v>
      </c>
      <c r="F53" s="15">
        <f t="shared" ref="F53:F55" si="14">F52</f>
        <v>105</v>
      </c>
      <c r="G53" s="15" t="s">
        <v>7</v>
      </c>
      <c r="H53" s="16">
        <v>0.2</v>
      </c>
      <c r="I53" s="15">
        <f t="shared" si="12"/>
        <v>6</v>
      </c>
      <c r="J53" s="15">
        <f t="shared" si="13"/>
        <v>630</v>
      </c>
    </row>
    <row r="54" spans="1:11" x14ac:dyDescent="0.3">
      <c r="A54" s="9"/>
      <c r="B54" s="9"/>
      <c r="C54" s="9"/>
      <c r="D54" s="19"/>
      <c r="E54" s="14" t="s">
        <v>58</v>
      </c>
      <c r="F54" s="15">
        <f t="shared" si="14"/>
        <v>105</v>
      </c>
      <c r="G54" s="15" t="s">
        <v>7</v>
      </c>
      <c r="H54" s="16">
        <v>0.2</v>
      </c>
      <c r="I54" s="15">
        <f t="shared" si="12"/>
        <v>6</v>
      </c>
      <c r="J54" s="15">
        <f t="shared" si="13"/>
        <v>630</v>
      </c>
    </row>
    <row r="55" spans="1:11" x14ac:dyDescent="0.3">
      <c r="A55" s="9"/>
      <c r="B55" s="9"/>
      <c r="C55" s="9"/>
      <c r="D55" s="19"/>
      <c r="E55" s="14" t="s">
        <v>59</v>
      </c>
      <c r="F55" s="15">
        <f t="shared" si="14"/>
        <v>105</v>
      </c>
      <c r="G55" s="15" t="s">
        <v>7</v>
      </c>
      <c r="H55" s="16">
        <v>0.25</v>
      </c>
      <c r="I55" s="15">
        <f t="shared" si="12"/>
        <v>7.5</v>
      </c>
      <c r="J55" s="15">
        <f t="shared" si="13"/>
        <v>787.5</v>
      </c>
    </row>
    <row r="56" spans="1:11" ht="63" x14ac:dyDescent="0.3">
      <c r="A56" s="20">
        <f>A50+0.01</f>
        <v>3.0199999999999996</v>
      </c>
      <c r="B56" s="20" t="s">
        <v>34</v>
      </c>
      <c r="C56" s="20"/>
      <c r="D56" s="21" t="s">
        <v>19</v>
      </c>
      <c r="E56" s="22"/>
      <c r="F56" s="23">
        <v>39</v>
      </c>
      <c r="G56" s="23" t="s">
        <v>7</v>
      </c>
      <c r="H56" s="24"/>
      <c r="I56" s="23">
        <v>30</v>
      </c>
      <c r="J56" s="23">
        <f t="shared" ref="J56:J62" si="15">I56*F56</f>
        <v>1170</v>
      </c>
      <c r="K56" s="7"/>
    </row>
    <row r="57" spans="1:11" x14ac:dyDescent="0.3">
      <c r="A57" s="9"/>
      <c r="B57" s="9"/>
      <c r="C57" s="9"/>
      <c r="D57" s="19"/>
      <c r="E57" s="14" t="s">
        <v>55</v>
      </c>
      <c r="F57" s="15">
        <f>F56</f>
        <v>39</v>
      </c>
      <c r="G57" s="15" t="s">
        <v>7</v>
      </c>
      <c r="H57" s="16">
        <v>0.15</v>
      </c>
      <c r="I57" s="15">
        <f>H57*$I$56</f>
        <v>4.5</v>
      </c>
      <c r="J57" s="15">
        <f>F57*I57</f>
        <v>175.5</v>
      </c>
    </row>
    <row r="58" spans="1:11" x14ac:dyDescent="0.3">
      <c r="A58" s="9"/>
      <c r="B58" s="9"/>
      <c r="C58" s="9"/>
      <c r="D58" s="19"/>
      <c r="E58" s="14" t="s">
        <v>56</v>
      </c>
      <c r="F58" s="15">
        <f>F57</f>
        <v>39</v>
      </c>
      <c r="G58" s="15" t="s">
        <v>7</v>
      </c>
      <c r="H58" s="16">
        <v>0.2</v>
      </c>
      <c r="I58" s="15">
        <f>H58*$I$56</f>
        <v>6</v>
      </c>
      <c r="J58" s="15">
        <f t="shared" ref="J58:J61" si="16">F58*I58</f>
        <v>234</v>
      </c>
    </row>
    <row r="59" spans="1:11" x14ac:dyDescent="0.3">
      <c r="A59" s="9"/>
      <c r="B59" s="9"/>
      <c r="C59" s="9"/>
      <c r="D59" s="19"/>
      <c r="E59" s="14" t="s">
        <v>57</v>
      </c>
      <c r="F59" s="15">
        <f t="shared" ref="F59:F61" si="17">F58</f>
        <v>39</v>
      </c>
      <c r="G59" s="15" t="s">
        <v>7</v>
      </c>
      <c r="H59" s="16">
        <v>0.2</v>
      </c>
      <c r="I59" s="15">
        <f>H59*$I$56</f>
        <v>6</v>
      </c>
      <c r="J59" s="15">
        <f t="shared" si="16"/>
        <v>234</v>
      </c>
    </row>
    <row r="60" spans="1:11" x14ac:dyDescent="0.3">
      <c r="A60" s="9"/>
      <c r="B60" s="9"/>
      <c r="C60" s="9"/>
      <c r="D60" s="19"/>
      <c r="E60" s="14" t="s">
        <v>58</v>
      </c>
      <c r="F60" s="15">
        <f t="shared" si="17"/>
        <v>39</v>
      </c>
      <c r="G60" s="15" t="s">
        <v>7</v>
      </c>
      <c r="H60" s="16">
        <v>0.2</v>
      </c>
      <c r="I60" s="15">
        <f>H60*$I$56</f>
        <v>6</v>
      </c>
      <c r="J60" s="15">
        <f t="shared" si="16"/>
        <v>234</v>
      </c>
    </row>
    <row r="61" spans="1:11" x14ac:dyDescent="0.3">
      <c r="A61" s="9"/>
      <c r="B61" s="9"/>
      <c r="C61" s="9"/>
      <c r="D61" s="19"/>
      <c r="E61" s="14" t="s">
        <v>59</v>
      </c>
      <c r="F61" s="15">
        <f t="shared" si="17"/>
        <v>39</v>
      </c>
      <c r="G61" s="15" t="s">
        <v>7</v>
      </c>
      <c r="H61" s="16">
        <v>0.25</v>
      </c>
      <c r="I61" s="15">
        <f>H61*$I$56</f>
        <v>7.5</v>
      </c>
      <c r="J61" s="15">
        <f t="shared" si="16"/>
        <v>292.5</v>
      </c>
    </row>
    <row r="62" spans="1:11" ht="63" x14ac:dyDescent="0.3">
      <c r="A62" s="20">
        <f>A56+0.01</f>
        <v>3.0299999999999994</v>
      </c>
      <c r="B62" s="20" t="s">
        <v>34</v>
      </c>
      <c r="C62" s="20"/>
      <c r="D62" s="21" t="s">
        <v>20</v>
      </c>
      <c r="E62" s="22"/>
      <c r="F62" s="23">
        <v>750</v>
      </c>
      <c r="G62" s="23" t="s">
        <v>7</v>
      </c>
      <c r="H62" s="24"/>
      <c r="I62" s="23">
        <v>40</v>
      </c>
      <c r="J62" s="23">
        <f t="shared" si="15"/>
        <v>30000</v>
      </c>
      <c r="K62" s="7"/>
    </row>
    <row r="63" spans="1:11" x14ac:dyDescent="0.3">
      <c r="A63" s="9"/>
      <c r="B63" s="9"/>
      <c r="C63" s="9"/>
      <c r="D63" s="19"/>
      <c r="E63" s="14" t="s">
        <v>55</v>
      </c>
      <c r="F63" s="15">
        <f>F62</f>
        <v>750</v>
      </c>
      <c r="G63" s="15" t="s">
        <v>7</v>
      </c>
      <c r="H63" s="16">
        <v>0.15</v>
      </c>
      <c r="I63" s="15">
        <f>H63*$I$62</f>
        <v>6</v>
      </c>
      <c r="J63" s="15">
        <f>F63*I63</f>
        <v>4500</v>
      </c>
    </row>
    <row r="64" spans="1:11" x14ac:dyDescent="0.3">
      <c r="A64" s="9"/>
      <c r="B64" s="9"/>
      <c r="C64" s="9"/>
      <c r="D64" s="19"/>
      <c r="E64" s="14" t="s">
        <v>56</v>
      </c>
      <c r="F64" s="15">
        <f>F63</f>
        <v>750</v>
      </c>
      <c r="G64" s="15" t="s">
        <v>7</v>
      </c>
      <c r="H64" s="16">
        <v>0.2</v>
      </c>
      <c r="I64" s="15">
        <f>H64*$I$62</f>
        <v>8</v>
      </c>
      <c r="J64" s="15">
        <f t="shared" ref="J64:J67" si="18">F64*I64</f>
        <v>6000</v>
      </c>
    </row>
    <row r="65" spans="1:11" x14ac:dyDescent="0.3">
      <c r="A65" s="9"/>
      <c r="B65" s="9"/>
      <c r="C65" s="9"/>
      <c r="D65" s="19"/>
      <c r="E65" s="14" t="s">
        <v>57</v>
      </c>
      <c r="F65" s="15">
        <f t="shared" ref="F65:F67" si="19">F64</f>
        <v>750</v>
      </c>
      <c r="G65" s="15" t="s">
        <v>7</v>
      </c>
      <c r="H65" s="16">
        <v>0.2</v>
      </c>
      <c r="I65" s="15">
        <f>H65*$I$62</f>
        <v>8</v>
      </c>
      <c r="J65" s="15">
        <f t="shared" si="18"/>
        <v>6000</v>
      </c>
    </row>
    <row r="66" spans="1:11" x14ac:dyDescent="0.3">
      <c r="A66" s="9"/>
      <c r="B66" s="9"/>
      <c r="C66" s="9"/>
      <c r="D66" s="19"/>
      <c r="E66" s="14" t="s">
        <v>58</v>
      </c>
      <c r="F66" s="15">
        <f t="shared" si="19"/>
        <v>750</v>
      </c>
      <c r="G66" s="15" t="s">
        <v>7</v>
      </c>
      <c r="H66" s="16">
        <v>0.2</v>
      </c>
      <c r="I66" s="15">
        <f>H66*$I$62</f>
        <v>8</v>
      </c>
      <c r="J66" s="15">
        <f t="shared" si="18"/>
        <v>6000</v>
      </c>
    </row>
    <row r="67" spans="1:11" x14ac:dyDescent="0.3">
      <c r="A67" s="9"/>
      <c r="B67" s="9"/>
      <c r="C67" s="9"/>
      <c r="D67" s="19"/>
      <c r="E67" s="14" t="s">
        <v>59</v>
      </c>
      <c r="F67" s="15">
        <f t="shared" si="19"/>
        <v>750</v>
      </c>
      <c r="G67" s="15" t="s">
        <v>7</v>
      </c>
      <c r="H67" s="16">
        <v>0.25</v>
      </c>
      <c r="I67" s="15">
        <f>H67*$I$62</f>
        <v>10</v>
      </c>
      <c r="J67" s="15">
        <f t="shared" si="18"/>
        <v>7500</v>
      </c>
    </row>
    <row r="68" spans="1:11" x14ac:dyDescent="0.3">
      <c r="A68" s="3">
        <v>4</v>
      </c>
      <c r="B68" s="3"/>
      <c r="C68" s="5"/>
      <c r="D68" s="42" t="s">
        <v>21</v>
      </c>
      <c r="E68" s="41"/>
      <c r="F68" s="41"/>
      <c r="G68" s="41"/>
      <c r="H68" s="41"/>
      <c r="I68" s="41"/>
      <c r="J68" s="43"/>
    </row>
    <row r="69" spans="1:11" ht="78.75" x14ac:dyDescent="0.3">
      <c r="A69" s="20">
        <f>A68+0.01</f>
        <v>4.01</v>
      </c>
      <c r="B69" s="20" t="s">
        <v>35</v>
      </c>
      <c r="C69" s="20"/>
      <c r="D69" s="21" t="s">
        <v>22</v>
      </c>
      <c r="E69" s="22"/>
      <c r="F69" s="23">
        <v>70</v>
      </c>
      <c r="G69" s="23" t="s">
        <v>7</v>
      </c>
      <c r="H69" s="24"/>
      <c r="I69" s="23">
        <v>140</v>
      </c>
      <c r="J69" s="23">
        <f>I69*F69</f>
        <v>9800</v>
      </c>
      <c r="K69" s="7"/>
    </row>
    <row r="70" spans="1:11" x14ac:dyDescent="0.3">
      <c r="A70" s="38"/>
      <c r="B70" s="38"/>
      <c r="C70" s="9"/>
      <c r="D70" s="12"/>
      <c r="E70" s="14" t="s">
        <v>41</v>
      </c>
      <c r="F70" s="15">
        <f>F69</f>
        <v>70</v>
      </c>
      <c r="G70" s="15" t="s">
        <v>7</v>
      </c>
      <c r="H70" s="16">
        <v>0.4</v>
      </c>
      <c r="I70" s="15">
        <f>H70*$I$69</f>
        <v>56</v>
      </c>
      <c r="J70" s="15">
        <f>F70*I70</f>
        <v>3920</v>
      </c>
    </row>
    <row r="71" spans="1:11" x14ac:dyDescent="0.3">
      <c r="A71" s="38"/>
      <c r="B71" s="38"/>
      <c r="C71" s="9"/>
      <c r="D71" s="12"/>
      <c r="E71" s="14" t="s">
        <v>42</v>
      </c>
      <c r="F71" s="15">
        <f>F70</f>
        <v>70</v>
      </c>
      <c r="G71" s="15" t="s">
        <v>7</v>
      </c>
      <c r="H71" s="16">
        <v>0.25</v>
      </c>
      <c r="I71" s="15">
        <f>H71*$I$69</f>
        <v>35</v>
      </c>
      <c r="J71" s="15">
        <f t="shared" ref="J71:J74" si="20">F71*I71</f>
        <v>2450</v>
      </c>
    </row>
    <row r="72" spans="1:11" x14ac:dyDescent="0.3">
      <c r="A72" s="38"/>
      <c r="B72" s="38"/>
      <c r="C72" s="9"/>
      <c r="D72" s="12"/>
      <c r="E72" s="14" t="s">
        <v>44</v>
      </c>
      <c r="F72" s="15">
        <f>F71</f>
        <v>70</v>
      </c>
      <c r="G72" s="15" t="s">
        <v>7</v>
      </c>
      <c r="H72" s="16">
        <v>0.15</v>
      </c>
      <c r="I72" s="15">
        <f>H72*$I$69</f>
        <v>21</v>
      </c>
      <c r="J72" s="15">
        <f t="shared" si="20"/>
        <v>1470</v>
      </c>
    </row>
    <row r="73" spans="1:11" x14ac:dyDescent="0.3">
      <c r="A73" s="38"/>
      <c r="B73" s="38"/>
      <c r="C73" s="9"/>
      <c r="D73" s="12"/>
      <c r="E73" s="14" t="s">
        <v>45</v>
      </c>
      <c r="F73" s="15">
        <f>F72</f>
        <v>70</v>
      </c>
      <c r="G73" s="15" t="s">
        <v>7</v>
      </c>
      <c r="H73" s="16">
        <v>0.15</v>
      </c>
      <c r="I73" s="15">
        <f>H73*$I$69</f>
        <v>21</v>
      </c>
      <c r="J73" s="15">
        <f t="shared" si="20"/>
        <v>1470</v>
      </c>
    </row>
    <row r="74" spans="1:11" x14ac:dyDescent="0.3">
      <c r="A74" s="39"/>
      <c r="B74" s="39"/>
      <c r="C74" s="6"/>
      <c r="D74" s="13"/>
      <c r="E74" s="14" t="s">
        <v>40</v>
      </c>
      <c r="F74" s="15">
        <f>F73</f>
        <v>70</v>
      </c>
      <c r="G74" s="15" t="s">
        <v>7</v>
      </c>
      <c r="H74" s="16">
        <v>0.05</v>
      </c>
      <c r="I74" s="15">
        <f>H74*$I$69</f>
        <v>7</v>
      </c>
      <c r="J74" s="15">
        <f t="shared" si="20"/>
        <v>490</v>
      </c>
    </row>
    <row r="75" spans="1:11" ht="31.5" x14ac:dyDescent="0.3">
      <c r="A75" s="20">
        <f>A69+0.01</f>
        <v>4.0199999999999996</v>
      </c>
      <c r="B75" s="20" t="s">
        <v>35</v>
      </c>
      <c r="C75" s="20"/>
      <c r="D75" s="21" t="s">
        <v>23</v>
      </c>
      <c r="E75" s="22"/>
      <c r="F75" s="23">
        <v>249</v>
      </c>
      <c r="G75" s="23" t="s">
        <v>7</v>
      </c>
      <c r="H75" s="24"/>
      <c r="I75" s="23">
        <v>110</v>
      </c>
      <c r="J75" s="23">
        <f t="shared" ref="J75:J86" si="21">I75*F75</f>
        <v>27390</v>
      </c>
      <c r="K75" s="7"/>
    </row>
    <row r="76" spans="1:11" x14ac:dyDescent="0.3">
      <c r="A76" s="38"/>
      <c r="B76" s="38"/>
      <c r="C76" s="9"/>
      <c r="D76" s="12"/>
      <c r="E76" s="14" t="s">
        <v>41</v>
      </c>
      <c r="F76" s="15">
        <f>F75</f>
        <v>249</v>
      </c>
      <c r="G76" s="15" t="s">
        <v>7</v>
      </c>
      <c r="H76" s="16">
        <v>0.4</v>
      </c>
      <c r="I76" s="15">
        <f>H76*$I$75</f>
        <v>44</v>
      </c>
      <c r="J76" s="15">
        <f>F76*I76</f>
        <v>10956</v>
      </c>
    </row>
    <row r="77" spans="1:11" x14ac:dyDescent="0.3">
      <c r="A77" s="39"/>
      <c r="B77" s="39"/>
      <c r="C77" s="6"/>
      <c r="D77" s="13"/>
      <c r="E77" s="14" t="s">
        <v>51</v>
      </c>
      <c r="F77" s="15">
        <f>F76</f>
        <v>249</v>
      </c>
      <c r="G77" s="15" t="s">
        <v>7</v>
      </c>
      <c r="H77" s="16">
        <v>0.25</v>
      </c>
      <c r="I77" s="15">
        <f>H77*$I$75</f>
        <v>27.5</v>
      </c>
      <c r="J77" s="15">
        <f t="shared" ref="J77" si="22">F77*I77</f>
        <v>6847.5</v>
      </c>
    </row>
    <row r="78" spans="1:11" ht="78.75" x14ac:dyDescent="0.3">
      <c r="A78" s="20">
        <f>A75+0.01</f>
        <v>4.0299999999999994</v>
      </c>
      <c r="B78" s="20" t="s">
        <v>35</v>
      </c>
      <c r="C78" s="20"/>
      <c r="D78" s="21" t="s">
        <v>24</v>
      </c>
      <c r="E78" s="22"/>
      <c r="F78" s="23">
        <v>1</v>
      </c>
      <c r="G78" s="23" t="s">
        <v>25</v>
      </c>
      <c r="H78" s="24"/>
      <c r="I78" s="23">
        <v>5000</v>
      </c>
      <c r="J78" s="23">
        <f t="shared" si="21"/>
        <v>5000</v>
      </c>
      <c r="K78" s="7"/>
    </row>
    <row r="79" spans="1:11" x14ac:dyDescent="0.3">
      <c r="A79" s="38"/>
      <c r="B79" s="38"/>
      <c r="C79" s="9"/>
      <c r="D79" s="12"/>
      <c r="E79" s="14" t="s">
        <v>41</v>
      </c>
      <c r="F79" s="15">
        <f>F78</f>
        <v>1</v>
      </c>
      <c r="G79" s="15" t="s">
        <v>16</v>
      </c>
      <c r="H79" s="16">
        <v>0.1</v>
      </c>
      <c r="I79" s="15">
        <f t="shared" ref="I79:I85" si="23">H79*$I$78</f>
        <v>500</v>
      </c>
      <c r="J79" s="15">
        <f>F79*I79</f>
        <v>500</v>
      </c>
    </row>
    <row r="80" spans="1:11" x14ac:dyDescent="0.3">
      <c r="A80" s="38"/>
      <c r="B80" s="38"/>
      <c r="C80" s="9"/>
      <c r="D80" s="12"/>
      <c r="E80" s="14" t="s">
        <v>42</v>
      </c>
      <c r="F80" s="15">
        <f>F79</f>
        <v>1</v>
      </c>
      <c r="G80" s="15" t="s">
        <v>16</v>
      </c>
      <c r="H80" s="16">
        <v>0.1</v>
      </c>
      <c r="I80" s="15">
        <f t="shared" si="23"/>
        <v>500</v>
      </c>
      <c r="J80" s="15">
        <f t="shared" ref="J80:J85" si="24">F80*I80</f>
        <v>500</v>
      </c>
    </row>
    <row r="81" spans="1:11" x14ac:dyDescent="0.3">
      <c r="A81" s="38"/>
      <c r="B81" s="38"/>
      <c r="C81" s="9"/>
      <c r="D81" s="12"/>
      <c r="E81" s="14" t="s">
        <v>44</v>
      </c>
      <c r="F81" s="15">
        <f>F80</f>
        <v>1</v>
      </c>
      <c r="G81" s="15" t="s">
        <v>16</v>
      </c>
      <c r="H81" s="16">
        <v>0.1</v>
      </c>
      <c r="I81" s="15">
        <f t="shared" si="23"/>
        <v>500</v>
      </c>
      <c r="J81" s="15">
        <f t="shared" si="24"/>
        <v>500</v>
      </c>
    </row>
    <row r="82" spans="1:11" x14ac:dyDescent="0.3">
      <c r="A82" s="38"/>
      <c r="B82" s="38"/>
      <c r="C82" s="9"/>
      <c r="D82" s="12"/>
      <c r="E82" s="14" t="s">
        <v>45</v>
      </c>
      <c r="F82" s="15">
        <f>F81</f>
        <v>1</v>
      </c>
      <c r="G82" s="15" t="s">
        <v>16</v>
      </c>
      <c r="H82" s="16">
        <v>0.05</v>
      </c>
      <c r="I82" s="15">
        <f t="shared" si="23"/>
        <v>250</v>
      </c>
      <c r="J82" s="15">
        <f t="shared" si="24"/>
        <v>250</v>
      </c>
    </row>
    <row r="83" spans="1:11" x14ac:dyDescent="0.3">
      <c r="A83" s="38"/>
      <c r="B83" s="38"/>
      <c r="C83" s="9"/>
      <c r="D83" s="12"/>
      <c r="E83" s="14" t="s">
        <v>40</v>
      </c>
      <c r="F83" s="15">
        <f>F81</f>
        <v>1</v>
      </c>
      <c r="G83" s="15" t="s">
        <v>16</v>
      </c>
      <c r="H83" s="16">
        <v>0.05</v>
      </c>
      <c r="I83" s="15">
        <f t="shared" si="23"/>
        <v>250</v>
      </c>
      <c r="J83" s="15">
        <f t="shared" ref="J83:J84" si="25">F83*I83</f>
        <v>250</v>
      </c>
    </row>
    <row r="84" spans="1:11" x14ac:dyDescent="0.3">
      <c r="A84" s="38"/>
      <c r="B84" s="38"/>
      <c r="C84" s="9"/>
      <c r="D84" s="12"/>
      <c r="E84" s="14" t="s">
        <v>34</v>
      </c>
      <c r="F84" s="15">
        <v>1</v>
      </c>
      <c r="G84" s="15" t="s">
        <v>16</v>
      </c>
      <c r="H84" s="16">
        <v>0.25</v>
      </c>
      <c r="I84" s="15">
        <f t="shared" si="23"/>
        <v>1250</v>
      </c>
      <c r="J84" s="15">
        <f t="shared" si="25"/>
        <v>1250</v>
      </c>
    </row>
    <row r="85" spans="1:11" x14ac:dyDescent="0.3">
      <c r="A85" s="39"/>
      <c r="B85" s="39"/>
      <c r="C85" s="6"/>
      <c r="D85" s="13"/>
      <c r="E85" s="14" t="s">
        <v>60</v>
      </c>
      <c r="F85" s="15">
        <f>F82</f>
        <v>1</v>
      </c>
      <c r="G85" s="15" t="s">
        <v>16</v>
      </c>
      <c r="H85" s="16">
        <v>0.35</v>
      </c>
      <c r="I85" s="15">
        <f t="shared" si="23"/>
        <v>1750</v>
      </c>
      <c r="J85" s="15">
        <f t="shared" si="24"/>
        <v>1750</v>
      </c>
    </row>
    <row r="86" spans="1:11" ht="78.75" x14ac:dyDescent="0.3">
      <c r="A86" s="20">
        <f t="shared" ref="A86" si="26">A78+0.01</f>
        <v>4.0399999999999991</v>
      </c>
      <c r="B86" s="20" t="s">
        <v>36</v>
      </c>
      <c r="C86" s="20"/>
      <c r="D86" s="21" t="s">
        <v>26</v>
      </c>
      <c r="E86" s="22"/>
      <c r="F86" s="23">
        <v>1</v>
      </c>
      <c r="G86" s="23" t="s">
        <v>25</v>
      </c>
      <c r="H86" s="24"/>
      <c r="I86" s="23">
        <v>13387</v>
      </c>
      <c r="J86" s="23">
        <f t="shared" si="21"/>
        <v>13387</v>
      </c>
      <c r="K86" s="7"/>
    </row>
    <row r="87" spans="1:11" x14ac:dyDescent="0.3">
      <c r="A87" s="38"/>
      <c r="B87" s="38"/>
      <c r="C87" s="9"/>
      <c r="D87" s="12"/>
      <c r="E87" s="14" t="s">
        <v>41</v>
      </c>
      <c r="F87" s="15">
        <f>F86</f>
        <v>1</v>
      </c>
      <c r="G87" s="15" t="s">
        <v>16</v>
      </c>
      <c r="H87" s="16">
        <v>0.2</v>
      </c>
      <c r="I87" s="15">
        <f>H87*$I$86</f>
        <v>2677.4</v>
      </c>
      <c r="J87" s="15">
        <f>F87*I87</f>
        <v>2677.4</v>
      </c>
    </row>
    <row r="88" spans="1:11" x14ac:dyDescent="0.3">
      <c r="A88" s="38"/>
      <c r="B88" s="38"/>
      <c r="C88" s="9"/>
      <c r="D88" s="12"/>
      <c r="E88" s="14" t="s">
        <v>61</v>
      </c>
      <c r="F88" s="15">
        <f>F87</f>
        <v>1</v>
      </c>
      <c r="G88" s="15" t="s">
        <v>16</v>
      </c>
      <c r="H88" s="16">
        <v>0.2</v>
      </c>
      <c r="I88" s="15">
        <f>H88*$I$86</f>
        <v>2677.4</v>
      </c>
      <c r="J88" s="15">
        <f t="shared" ref="J88:J91" si="27">F88*I88</f>
        <v>2677.4</v>
      </c>
    </row>
    <row r="89" spans="1:11" x14ac:dyDescent="0.3">
      <c r="A89" s="38"/>
      <c r="B89" s="38"/>
      <c r="C89" s="9"/>
      <c r="D89" s="12"/>
      <c r="E89" s="14" t="s">
        <v>63</v>
      </c>
      <c r="F89" s="15">
        <f>F88</f>
        <v>1</v>
      </c>
      <c r="G89" s="15" t="s">
        <v>16</v>
      </c>
      <c r="H89" s="16">
        <v>0.15</v>
      </c>
      <c r="I89" s="15">
        <f>H89*$I$86</f>
        <v>2008.05</v>
      </c>
      <c r="J89" s="15">
        <f t="shared" si="27"/>
        <v>2008.05</v>
      </c>
    </row>
    <row r="90" spans="1:11" x14ac:dyDescent="0.3">
      <c r="A90" s="38"/>
      <c r="B90" s="38"/>
      <c r="C90" s="9"/>
      <c r="D90" s="12"/>
      <c r="E90" s="14" t="s">
        <v>62</v>
      </c>
      <c r="F90" s="15">
        <f>F89</f>
        <v>1</v>
      </c>
      <c r="G90" s="15" t="s">
        <v>16</v>
      </c>
      <c r="H90" s="16">
        <v>0.2</v>
      </c>
      <c r="I90" s="15">
        <f>H90*$I$86</f>
        <v>2677.4</v>
      </c>
      <c r="J90" s="15">
        <f t="shared" si="27"/>
        <v>2677.4</v>
      </c>
    </row>
    <row r="91" spans="1:11" x14ac:dyDescent="0.3">
      <c r="A91" s="38"/>
      <c r="B91" s="38"/>
      <c r="C91" s="9"/>
      <c r="D91" s="12"/>
      <c r="E91" s="14" t="s">
        <v>64</v>
      </c>
      <c r="F91" s="15">
        <f>F89</f>
        <v>1</v>
      </c>
      <c r="G91" s="15" t="s">
        <v>16</v>
      </c>
      <c r="H91" s="16">
        <v>0.25</v>
      </c>
      <c r="I91" s="15">
        <f>H91*$I$86</f>
        <v>3346.75</v>
      </c>
      <c r="J91" s="15">
        <f t="shared" si="27"/>
        <v>3346.75</v>
      </c>
    </row>
    <row r="92" spans="1:11" x14ac:dyDescent="0.3">
      <c r="A92" s="3">
        <v>5</v>
      </c>
      <c r="B92" s="3"/>
      <c r="C92" s="5"/>
      <c r="D92" s="42" t="s">
        <v>27</v>
      </c>
      <c r="E92" s="41"/>
      <c r="F92" s="41"/>
      <c r="G92" s="41"/>
      <c r="H92" s="41"/>
      <c r="I92" s="41"/>
      <c r="J92" s="43"/>
    </row>
    <row r="93" spans="1:11" ht="31.5" x14ac:dyDescent="0.3">
      <c r="A93" s="20">
        <f>A92+0.01</f>
        <v>5.01</v>
      </c>
      <c r="B93" s="20" t="s">
        <v>37</v>
      </c>
      <c r="C93" s="20"/>
      <c r="D93" s="21" t="s">
        <v>28</v>
      </c>
      <c r="E93" s="22"/>
      <c r="F93" s="23">
        <v>24</v>
      </c>
      <c r="G93" s="23" t="s">
        <v>7</v>
      </c>
      <c r="H93" s="24"/>
      <c r="I93" s="23">
        <v>450</v>
      </c>
      <c r="J93" s="23">
        <f>I93*F93</f>
        <v>10800</v>
      </c>
      <c r="K93" s="7"/>
    </row>
    <row r="94" spans="1:11" x14ac:dyDescent="0.3">
      <c r="A94" s="38"/>
      <c r="B94" s="38"/>
      <c r="C94" s="9"/>
      <c r="D94" s="12"/>
      <c r="E94" s="14" t="s">
        <v>65</v>
      </c>
      <c r="F94" s="15">
        <f>F93</f>
        <v>24</v>
      </c>
      <c r="G94" s="15" t="s">
        <v>16</v>
      </c>
      <c r="H94" s="16">
        <v>0.2</v>
      </c>
      <c r="I94" s="15">
        <f>H94*$I$93</f>
        <v>90</v>
      </c>
      <c r="J94" s="15">
        <f>F94*I94</f>
        <v>2160</v>
      </c>
    </row>
    <row r="95" spans="1:11" x14ac:dyDescent="0.3">
      <c r="A95" s="38"/>
      <c r="B95" s="38"/>
      <c r="C95" s="9"/>
      <c r="D95" s="12"/>
      <c r="E95" s="14" t="s">
        <v>66</v>
      </c>
      <c r="F95" s="15">
        <f>F94</f>
        <v>24</v>
      </c>
      <c r="G95" s="15" t="s">
        <v>16</v>
      </c>
      <c r="H95" s="16">
        <v>0.6</v>
      </c>
      <c r="I95" s="15">
        <f>H95*$I$93</f>
        <v>270</v>
      </c>
      <c r="J95" s="15">
        <f t="shared" ref="J95:J97" si="28">F95*I95</f>
        <v>6480</v>
      </c>
    </row>
    <row r="96" spans="1:11" x14ac:dyDescent="0.3">
      <c r="A96" s="38"/>
      <c r="B96" s="38"/>
      <c r="C96" s="9"/>
      <c r="D96" s="12"/>
      <c r="E96" s="14" t="s">
        <v>67</v>
      </c>
      <c r="F96" s="15">
        <f>F95</f>
        <v>24</v>
      </c>
      <c r="G96" s="15" t="s">
        <v>16</v>
      </c>
      <c r="H96" s="16">
        <v>0.15</v>
      </c>
      <c r="I96" s="15">
        <f>H96*$I$93</f>
        <v>67.5</v>
      </c>
      <c r="J96" s="15">
        <f t="shared" si="28"/>
        <v>1620</v>
      </c>
    </row>
    <row r="97" spans="1:11" x14ac:dyDescent="0.3">
      <c r="A97" s="39"/>
      <c r="B97" s="39"/>
      <c r="C97" s="6"/>
      <c r="D97" s="13"/>
      <c r="E97" s="14" t="s">
        <v>68</v>
      </c>
      <c r="F97" s="15">
        <f>F96</f>
        <v>24</v>
      </c>
      <c r="G97" s="15" t="s">
        <v>16</v>
      </c>
      <c r="H97" s="16">
        <v>0.05</v>
      </c>
      <c r="I97" s="15">
        <f>H97*$I$93</f>
        <v>22.5</v>
      </c>
      <c r="J97" s="15">
        <f t="shared" si="28"/>
        <v>540</v>
      </c>
    </row>
    <row r="98" spans="1:11" x14ac:dyDescent="0.3">
      <c r="A98" s="3">
        <v>6</v>
      </c>
      <c r="B98" s="3"/>
      <c r="C98" s="5"/>
      <c r="D98" s="42" t="s">
        <v>69</v>
      </c>
      <c r="E98" s="41"/>
      <c r="F98" s="41"/>
      <c r="G98" s="41"/>
      <c r="H98" s="41"/>
      <c r="I98" s="41"/>
      <c r="J98" s="43"/>
    </row>
    <row r="99" spans="1:11" ht="56.25" x14ac:dyDescent="0.3">
      <c r="A99" s="20"/>
      <c r="B99" s="20" t="s">
        <v>36</v>
      </c>
      <c r="C99" s="20"/>
      <c r="D99" s="21" t="s">
        <v>70</v>
      </c>
      <c r="E99" s="22"/>
      <c r="F99" s="23">
        <v>1</v>
      </c>
      <c r="G99" s="23" t="s">
        <v>16</v>
      </c>
      <c r="H99" s="24"/>
      <c r="I99" s="23">
        <v>20350</v>
      </c>
      <c r="J99" s="23">
        <f>F99*I99</f>
        <v>20350</v>
      </c>
      <c r="K99" s="7"/>
    </row>
    <row r="100" spans="1:11" x14ac:dyDescent="0.3">
      <c r="A100" s="38"/>
      <c r="B100" s="38"/>
      <c r="C100" s="9"/>
      <c r="D100" s="12"/>
      <c r="E100" s="14" t="s">
        <v>41</v>
      </c>
      <c r="F100" s="15">
        <f>F99</f>
        <v>1</v>
      </c>
      <c r="G100" s="15" t="s">
        <v>16</v>
      </c>
      <c r="H100" s="16">
        <v>0.2</v>
      </c>
      <c r="I100" s="15">
        <f>H100*$I$99</f>
        <v>4070</v>
      </c>
      <c r="J100" s="15">
        <f>F100*I100</f>
        <v>4070</v>
      </c>
    </row>
    <row r="101" spans="1:11" x14ac:dyDescent="0.3">
      <c r="A101" s="38"/>
      <c r="B101" s="38"/>
      <c r="C101" s="9"/>
      <c r="D101" s="12"/>
      <c r="E101" s="14" t="s">
        <v>61</v>
      </c>
      <c r="F101" s="15">
        <f>F100</f>
        <v>1</v>
      </c>
      <c r="G101" s="15" t="s">
        <v>16</v>
      </c>
      <c r="H101" s="16">
        <v>0.2</v>
      </c>
      <c r="I101" s="15">
        <f>H101*$I$99</f>
        <v>4070</v>
      </c>
      <c r="J101" s="15">
        <f t="shared" ref="J101:J104" si="29">F101*I101</f>
        <v>4070</v>
      </c>
    </row>
    <row r="102" spans="1:11" x14ac:dyDescent="0.3">
      <c r="A102" s="38"/>
      <c r="B102" s="38"/>
      <c r="C102" s="9"/>
      <c r="D102" s="12"/>
      <c r="E102" s="14" t="s">
        <v>63</v>
      </c>
      <c r="F102" s="15">
        <f>F101</f>
        <v>1</v>
      </c>
      <c r="G102" s="15" t="s">
        <v>16</v>
      </c>
      <c r="H102" s="16">
        <v>0.1</v>
      </c>
      <c r="I102" s="15">
        <f t="shared" ref="I102:I104" si="30">H102*$I$99</f>
        <v>2035</v>
      </c>
      <c r="J102" s="15">
        <f t="shared" si="29"/>
        <v>2035</v>
      </c>
    </row>
    <row r="103" spans="1:11" x14ac:dyDescent="0.3">
      <c r="A103" s="38"/>
      <c r="B103" s="38"/>
      <c r="C103" s="9"/>
      <c r="D103" s="12"/>
      <c r="E103" s="14" t="s">
        <v>62</v>
      </c>
      <c r="F103" s="15">
        <f>F102</f>
        <v>1</v>
      </c>
      <c r="G103" s="15" t="s">
        <v>16</v>
      </c>
      <c r="H103" s="16">
        <v>0.2</v>
      </c>
      <c r="I103" s="15">
        <f t="shared" si="30"/>
        <v>4070</v>
      </c>
      <c r="J103" s="15">
        <f t="shared" si="29"/>
        <v>4070</v>
      </c>
    </row>
    <row r="104" spans="1:11" x14ac:dyDescent="0.3">
      <c r="A104" s="39"/>
      <c r="B104" s="39"/>
      <c r="C104" s="6"/>
      <c r="D104" s="13"/>
      <c r="E104" s="14" t="s">
        <v>64</v>
      </c>
      <c r="F104" s="15">
        <f>F102</f>
        <v>1</v>
      </c>
      <c r="G104" s="15" t="s">
        <v>16</v>
      </c>
      <c r="H104" s="16">
        <v>0.3</v>
      </c>
      <c r="I104" s="15">
        <f t="shared" si="30"/>
        <v>6105</v>
      </c>
      <c r="J104" s="15">
        <f t="shared" si="29"/>
        <v>6105</v>
      </c>
    </row>
    <row r="105" spans="1:11" ht="56.25" x14ac:dyDescent="0.3">
      <c r="A105" s="20">
        <v>7</v>
      </c>
      <c r="B105" s="20" t="s">
        <v>36</v>
      </c>
      <c r="C105" s="20"/>
      <c r="D105" s="21" t="s">
        <v>73</v>
      </c>
      <c r="E105" s="22"/>
      <c r="F105" s="23">
        <v>1</v>
      </c>
      <c r="G105" s="23" t="s">
        <v>16</v>
      </c>
      <c r="H105" s="24"/>
      <c r="I105" s="23">
        <v>4530</v>
      </c>
      <c r="J105" s="23">
        <f>F105*I105</f>
        <v>4530</v>
      </c>
      <c r="K105" s="7"/>
    </row>
    <row r="106" spans="1:11" x14ac:dyDescent="0.3">
      <c r="A106" s="38"/>
      <c r="B106" s="38"/>
      <c r="C106" s="9"/>
      <c r="D106" s="12"/>
      <c r="E106" s="14" t="s">
        <v>41</v>
      </c>
      <c r="F106" s="15">
        <f>F105</f>
        <v>1</v>
      </c>
      <c r="G106" s="15" t="s">
        <v>16</v>
      </c>
      <c r="H106" s="16">
        <v>0.3</v>
      </c>
      <c r="I106" s="15">
        <f>H106*$I$105</f>
        <v>1359</v>
      </c>
      <c r="J106" s="15">
        <f>F106*I106</f>
        <v>1359</v>
      </c>
    </row>
    <row r="107" spans="1:11" x14ac:dyDescent="0.3">
      <c r="A107" s="38"/>
      <c r="B107" s="38"/>
      <c r="C107" s="9"/>
      <c r="D107" s="12"/>
      <c r="E107" s="14" t="s">
        <v>72</v>
      </c>
      <c r="F107" s="15">
        <f>F106</f>
        <v>1</v>
      </c>
      <c r="G107" s="15" t="s">
        <v>16</v>
      </c>
      <c r="H107" s="16">
        <v>0.3</v>
      </c>
      <c r="I107" s="15">
        <f>H107*$I$105</f>
        <v>1359</v>
      </c>
      <c r="J107" s="15">
        <f t="shared" ref="J107:J108" si="31">F107*I107</f>
        <v>1359</v>
      </c>
    </row>
    <row r="108" spans="1:11" x14ac:dyDescent="0.3">
      <c r="A108" s="39"/>
      <c r="B108" s="39"/>
      <c r="C108" s="6"/>
      <c r="D108" s="13"/>
      <c r="E108" s="14" t="s">
        <v>64</v>
      </c>
      <c r="F108" s="15">
        <f>F107</f>
        <v>1</v>
      </c>
      <c r="G108" s="15" t="s">
        <v>16</v>
      </c>
      <c r="H108" s="16">
        <v>0.4</v>
      </c>
      <c r="I108" s="15">
        <f t="shared" ref="I108" si="32">H108*$I$105</f>
        <v>1812</v>
      </c>
      <c r="J108" s="15">
        <f t="shared" si="31"/>
        <v>1812</v>
      </c>
    </row>
    <row r="109" spans="1:11" ht="93.75" x14ac:dyDescent="0.3">
      <c r="A109" s="20">
        <v>8</v>
      </c>
      <c r="B109" s="20" t="s">
        <v>36</v>
      </c>
      <c r="C109" s="20"/>
      <c r="D109" s="21" t="s">
        <v>71</v>
      </c>
      <c r="E109" s="22"/>
      <c r="F109" s="23">
        <v>1</v>
      </c>
      <c r="G109" s="23" t="s">
        <v>16</v>
      </c>
      <c r="H109" s="24"/>
      <c r="I109" s="23">
        <v>5850</v>
      </c>
      <c r="J109" s="23">
        <f>F109*I109</f>
        <v>5850</v>
      </c>
      <c r="K109" s="7"/>
    </row>
    <row r="110" spans="1:11" x14ac:dyDescent="0.3">
      <c r="A110" s="38"/>
      <c r="B110" s="38"/>
      <c r="C110" s="9"/>
      <c r="D110" s="12"/>
      <c r="E110" s="14" t="s">
        <v>41</v>
      </c>
      <c r="F110" s="15">
        <f>F109</f>
        <v>1</v>
      </c>
      <c r="G110" s="15" t="s">
        <v>16</v>
      </c>
      <c r="H110" s="16">
        <v>0.3</v>
      </c>
      <c r="I110" s="15">
        <f>H110*$I$109</f>
        <v>1755</v>
      </c>
      <c r="J110" s="15">
        <f>F110*I110</f>
        <v>1755</v>
      </c>
    </row>
    <row r="111" spans="1:11" x14ac:dyDescent="0.3">
      <c r="A111" s="38"/>
      <c r="B111" s="38"/>
      <c r="C111" s="9"/>
      <c r="D111" s="12"/>
      <c r="E111" s="14" t="s">
        <v>72</v>
      </c>
      <c r="F111" s="15">
        <f>F110</f>
        <v>1</v>
      </c>
      <c r="G111" s="15" t="s">
        <v>16</v>
      </c>
      <c r="H111" s="16">
        <v>0.3</v>
      </c>
      <c r="I111" s="15">
        <f>H111*$I$109</f>
        <v>1755</v>
      </c>
      <c r="J111" s="15">
        <f t="shared" ref="J111:J112" si="33">F111*I111</f>
        <v>1755</v>
      </c>
    </row>
    <row r="112" spans="1:11" x14ac:dyDescent="0.3">
      <c r="A112" s="39"/>
      <c r="B112" s="39"/>
      <c r="C112" s="6"/>
      <c r="D112" s="13"/>
      <c r="E112" s="14" t="s">
        <v>64</v>
      </c>
      <c r="F112" s="15">
        <f>F111</f>
        <v>1</v>
      </c>
      <c r="G112" s="15" t="s">
        <v>16</v>
      </c>
      <c r="H112" s="16">
        <v>0.4</v>
      </c>
      <c r="I112" s="15">
        <f>H112*$I$109</f>
        <v>2340</v>
      </c>
      <c r="J112" s="15">
        <f t="shared" si="33"/>
        <v>2340</v>
      </c>
    </row>
    <row r="113" spans="1:11" ht="75" x14ac:dyDescent="0.3">
      <c r="A113" s="20">
        <v>9</v>
      </c>
      <c r="B113" s="20" t="s">
        <v>36</v>
      </c>
      <c r="C113" s="20"/>
      <c r="D113" s="21" t="s">
        <v>74</v>
      </c>
      <c r="E113" s="22"/>
      <c r="F113" s="23">
        <v>1</v>
      </c>
      <c r="G113" s="23" t="s">
        <v>16</v>
      </c>
      <c r="H113" s="24"/>
      <c r="I113" s="23">
        <v>5000</v>
      </c>
      <c r="J113" s="23">
        <f>F113*I113</f>
        <v>5000</v>
      </c>
      <c r="K113" s="7"/>
    </row>
    <row r="114" spans="1:11" x14ac:dyDescent="0.3">
      <c r="A114" s="38"/>
      <c r="B114" s="38"/>
      <c r="C114" s="9"/>
      <c r="D114" s="12"/>
      <c r="E114" s="14" t="s">
        <v>41</v>
      </c>
      <c r="F114" s="15">
        <f>F113</f>
        <v>1</v>
      </c>
      <c r="G114" s="15" t="s">
        <v>16</v>
      </c>
      <c r="H114" s="16">
        <v>0.3</v>
      </c>
      <c r="I114" s="15">
        <f>H114*$I$113</f>
        <v>1500</v>
      </c>
      <c r="J114" s="15">
        <f>F114*I114</f>
        <v>1500</v>
      </c>
    </row>
    <row r="115" spans="1:11" x14ac:dyDescent="0.3">
      <c r="A115" s="38"/>
      <c r="B115" s="38"/>
      <c r="C115" s="9"/>
      <c r="D115" s="12"/>
      <c r="E115" s="14" t="s">
        <v>72</v>
      </c>
      <c r="F115" s="15">
        <f>F114</f>
        <v>1</v>
      </c>
      <c r="G115" s="15" t="s">
        <v>16</v>
      </c>
      <c r="H115" s="16">
        <v>0.3</v>
      </c>
      <c r="I115" s="15">
        <f>H115*$I$113</f>
        <v>1500</v>
      </c>
      <c r="J115" s="15">
        <f t="shared" ref="J115:J116" si="34">F115*I115</f>
        <v>1500</v>
      </c>
    </row>
    <row r="116" spans="1:11" x14ac:dyDescent="0.3">
      <c r="A116" s="39"/>
      <c r="B116" s="39"/>
      <c r="C116" s="6"/>
      <c r="D116" s="13"/>
      <c r="E116" s="14" t="s">
        <v>64</v>
      </c>
      <c r="F116" s="15">
        <f>F115</f>
        <v>1</v>
      </c>
      <c r="G116" s="15" t="s">
        <v>16</v>
      </c>
      <c r="H116" s="16">
        <v>0.4</v>
      </c>
      <c r="I116" s="15">
        <f>H116*$I$113</f>
        <v>2000</v>
      </c>
      <c r="J116" s="15">
        <f t="shared" si="34"/>
        <v>2000</v>
      </c>
    </row>
    <row r="117" spans="1:11" ht="56.25" x14ac:dyDescent="0.3">
      <c r="A117" s="20">
        <v>10</v>
      </c>
      <c r="B117" s="20" t="s">
        <v>36</v>
      </c>
      <c r="C117" s="20"/>
      <c r="D117" s="21" t="s">
        <v>75</v>
      </c>
      <c r="E117" s="22"/>
      <c r="F117" s="23">
        <v>1</v>
      </c>
      <c r="G117" s="23" t="s">
        <v>16</v>
      </c>
      <c r="H117" s="24"/>
      <c r="I117" s="23">
        <v>3350</v>
      </c>
      <c r="J117" s="23">
        <f>F117*I117</f>
        <v>3350</v>
      </c>
      <c r="K117" s="7"/>
    </row>
    <row r="118" spans="1:11" x14ac:dyDescent="0.3">
      <c r="A118" s="38"/>
      <c r="B118" s="38"/>
      <c r="C118" s="9"/>
      <c r="D118" s="12"/>
      <c r="E118" s="14" t="s">
        <v>41</v>
      </c>
      <c r="F118" s="15">
        <f>F117</f>
        <v>1</v>
      </c>
      <c r="G118" s="15" t="s">
        <v>16</v>
      </c>
      <c r="H118" s="16">
        <v>0.3</v>
      </c>
      <c r="I118" s="15">
        <f>H118*$I$117</f>
        <v>1005</v>
      </c>
      <c r="J118" s="15">
        <f>F118*I118</f>
        <v>1005</v>
      </c>
    </row>
    <row r="119" spans="1:11" x14ac:dyDescent="0.3">
      <c r="A119" s="38"/>
      <c r="B119" s="38"/>
      <c r="C119" s="9"/>
      <c r="D119" s="12"/>
      <c r="E119" s="14" t="s">
        <v>72</v>
      </c>
      <c r="F119" s="15">
        <f>F118</f>
        <v>1</v>
      </c>
      <c r="G119" s="15" t="s">
        <v>16</v>
      </c>
      <c r="H119" s="16">
        <v>0.3</v>
      </c>
      <c r="I119" s="15">
        <f>H119*$I$117</f>
        <v>1005</v>
      </c>
      <c r="J119" s="15">
        <f t="shared" ref="J119:J120" si="35">F119*I119</f>
        <v>1005</v>
      </c>
    </row>
    <row r="120" spans="1:11" x14ac:dyDescent="0.3">
      <c r="A120" s="39"/>
      <c r="B120" s="39"/>
      <c r="C120" s="6"/>
      <c r="D120" s="13"/>
      <c r="E120" s="14" t="s">
        <v>64</v>
      </c>
      <c r="F120" s="15">
        <f>F119</f>
        <v>1</v>
      </c>
      <c r="G120" s="15" t="s">
        <v>16</v>
      </c>
      <c r="H120" s="16">
        <v>0.4</v>
      </c>
      <c r="I120" s="15">
        <f>H120*$I$117</f>
        <v>1340</v>
      </c>
      <c r="J120" s="15">
        <f t="shared" si="35"/>
        <v>1340</v>
      </c>
    </row>
    <row r="121" spans="1:11" ht="75" x14ac:dyDescent="0.3">
      <c r="A121" s="20">
        <v>11</v>
      </c>
      <c r="B121" s="20" t="s">
        <v>36</v>
      </c>
      <c r="C121" s="20"/>
      <c r="D121" s="21" t="s">
        <v>76</v>
      </c>
      <c r="E121" s="22"/>
      <c r="F121" s="23">
        <v>1</v>
      </c>
      <c r="G121" s="23" t="s">
        <v>16</v>
      </c>
      <c r="H121" s="24"/>
      <c r="I121" s="23">
        <v>6905</v>
      </c>
      <c r="J121" s="23">
        <f>F121*I121</f>
        <v>6905</v>
      </c>
      <c r="K121" s="7"/>
    </row>
    <row r="122" spans="1:11" x14ac:dyDescent="0.3">
      <c r="A122" s="38"/>
      <c r="B122" s="38"/>
      <c r="C122" s="9"/>
      <c r="D122" s="12"/>
      <c r="E122" s="14" t="s">
        <v>41</v>
      </c>
      <c r="F122" s="15">
        <f>F121</f>
        <v>1</v>
      </c>
      <c r="G122" s="15" t="s">
        <v>16</v>
      </c>
      <c r="H122" s="16">
        <v>0.3</v>
      </c>
      <c r="I122" s="15">
        <f>H122*$I$121</f>
        <v>2071.5</v>
      </c>
      <c r="J122" s="15">
        <f>F122*I122</f>
        <v>2071.5</v>
      </c>
    </row>
    <row r="123" spans="1:11" x14ac:dyDescent="0.3">
      <c r="A123" s="38"/>
      <c r="B123" s="38"/>
      <c r="C123" s="9"/>
      <c r="D123" s="12"/>
      <c r="E123" s="14" t="s">
        <v>72</v>
      </c>
      <c r="F123" s="15">
        <f>F122</f>
        <v>1</v>
      </c>
      <c r="G123" s="15" t="s">
        <v>16</v>
      </c>
      <c r="H123" s="16">
        <v>0.3</v>
      </c>
      <c r="I123" s="15">
        <f>H123*$I$121</f>
        <v>2071.5</v>
      </c>
      <c r="J123" s="15">
        <f t="shared" ref="J123:J124" si="36">F123*I123</f>
        <v>2071.5</v>
      </c>
    </row>
    <row r="124" spans="1:11" x14ac:dyDescent="0.3">
      <c r="A124" s="39"/>
      <c r="B124" s="39"/>
      <c r="C124" s="6"/>
      <c r="D124" s="13"/>
      <c r="E124" s="14" t="s">
        <v>64</v>
      </c>
      <c r="F124" s="15">
        <f>F123</f>
        <v>1</v>
      </c>
      <c r="G124" s="15" t="s">
        <v>16</v>
      </c>
      <c r="H124" s="16">
        <v>0.4</v>
      </c>
      <c r="I124" s="15">
        <f>H124*$I$121</f>
        <v>2762</v>
      </c>
      <c r="J124" s="15">
        <f t="shared" si="36"/>
        <v>2762</v>
      </c>
    </row>
    <row r="125" spans="1:11" ht="56.25" x14ac:dyDescent="0.3">
      <c r="A125" s="20">
        <v>12</v>
      </c>
      <c r="B125" s="20" t="s">
        <v>36</v>
      </c>
      <c r="C125" s="20"/>
      <c r="D125" s="21" t="s">
        <v>77</v>
      </c>
      <c r="E125" s="22"/>
      <c r="F125" s="23">
        <v>1</v>
      </c>
      <c r="G125" s="23" t="s">
        <v>16</v>
      </c>
      <c r="H125" s="24"/>
      <c r="I125" s="23">
        <v>7150</v>
      </c>
      <c r="J125" s="23">
        <f>F125*I125</f>
        <v>7150</v>
      </c>
      <c r="K125" s="7"/>
    </row>
    <row r="126" spans="1:11" x14ac:dyDescent="0.3">
      <c r="A126" s="38"/>
      <c r="B126" s="38"/>
      <c r="C126" s="9"/>
      <c r="D126" s="12"/>
      <c r="E126" s="14" t="s">
        <v>41</v>
      </c>
      <c r="F126" s="15">
        <f>F125</f>
        <v>1</v>
      </c>
      <c r="G126" s="15" t="s">
        <v>16</v>
      </c>
      <c r="H126" s="16">
        <v>0.3</v>
      </c>
      <c r="I126" s="15">
        <f>H126*$I$125</f>
        <v>2145</v>
      </c>
      <c r="J126" s="15">
        <f>F126*I126</f>
        <v>2145</v>
      </c>
    </row>
    <row r="127" spans="1:11" x14ac:dyDescent="0.3">
      <c r="A127" s="38"/>
      <c r="B127" s="38"/>
      <c r="C127" s="9"/>
      <c r="D127" s="12"/>
      <c r="E127" s="14" t="s">
        <v>72</v>
      </c>
      <c r="F127" s="15">
        <f>F126</f>
        <v>1</v>
      </c>
      <c r="G127" s="15" t="s">
        <v>16</v>
      </c>
      <c r="H127" s="16">
        <v>0.3</v>
      </c>
      <c r="I127" s="15">
        <f>H127*$I$125</f>
        <v>2145</v>
      </c>
      <c r="J127" s="15">
        <f t="shared" ref="J127:J128" si="37">F127*I127</f>
        <v>2145</v>
      </c>
    </row>
    <row r="128" spans="1:11" x14ac:dyDescent="0.3">
      <c r="A128" s="39"/>
      <c r="B128" s="39"/>
      <c r="C128" s="6"/>
      <c r="D128" s="13"/>
      <c r="E128" s="14" t="s">
        <v>64</v>
      </c>
      <c r="F128" s="15">
        <f>F127</f>
        <v>1</v>
      </c>
      <c r="G128" s="15" t="s">
        <v>16</v>
      </c>
      <c r="H128" s="16">
        <v>0.4</v>
      </c>
      <c r="I128" s="15">
        <f>H128*$I$125</f>
        <v>2860</v>
      </c>
      <c r="J128" s="15">
        <f t="shared" si="37"/>
        <v>2860</v>
      </c>
    </row>
    <row r="129" spans="1:11" ht="75" x14ac:dyDescent="0.3">
      <c r="A129" s="20">
        <v>13</v>
      </c>
      <c r="B129" s="20" t="s">
        <v>36</v>
      </c>
      <c r="C129" s="20"/>
      <c r="D129" s="21" t="s">
        <v>78</v>
      </c>
      <c r="E129" s="22"/>
      <c r="F129" s="23">
        <v>2</v>
      </c>
      <c r="G129" s="23" t="s">
        <v>16</v>
      </c>
      <c r="H129" s="24"/>
      <c r="I129" s="23">
        <v>5000</v>
      </c>
      <c r="J129" s="23">
        <f>F129*I129</f>
        <v>10000</v>
      </c>
      <c r="K129" s="7"/>
    </row>
    <row r="130" spans="1:11" x14ac:dyDescent="0.3">
      <c r="A130" s="38"/>
      <c r="B130" s="38"/>
      <c r="C130" s="9"/>
      <c r="D130" s="12"/>
      <c r="E130" s="14" t="s">
        <v>41</v>
      </c>
      <c r="F130" s="15">
        <f>F129</f>
        <v>2</v>
      </c>
      <c r="G130" s="15" t="s">
        <v>16</v>
      </c>
      <c r="H130" s="16">
        <v>0.3</v>
      </c>
      <c r="I130" s="15">
        <f>H130*$I$129</f>
        <v>1500</v>
      </c>
      <c r="J130" s="15">
        <f>F130*I130</f>
        <v>3000</v>
      </c>
    </row>
    <row r="131" spans="1:11" x14ac:dyDescent="0.3">
      <c r="A131" s="38"/>
      <c r="B131" s="38"/>
      <c r="C131" s="9"/>
      <c r="D131" s="12"/>
      <c r="E131" s="14" t="s">
        <v>72</v>
      </c>
      <c r="F131" s="15">
        <f>F130</f>
        <v>2</v>
      </c>
      <c r="G131" s="15" t="s">
        <v>16</v>
      </c>
      <c r="H131" s="16">
        <v>0.3</v>
      </c>
      <c r="I131" s="15">
        <f>H131*$I$129</f>
        <v>1500</v>
      </c>
      <c r="J131" s="15">
        <f t="shared" ref="J131:J132" si="38">F131*I131</f>
        <v>3000</v>
      </c>
    </row>
    <row r="132" spans="1:11" x14ac:dyDescent="0.3">
      <c r="A132" s="39"/>
      <c r="B132" s="39"/>
      <c r="C132" s="6"/>
      <c r="D132" s="13"/>
      <c r="E132" s="14" t="s">
        <v>64</v>
      </c>
      <c r="F132" s="15">
        <f>F131</f>
        <v>2</v>
      </c>
      <c r="G132" s="15" t="s">
        <v>16</v>
      </c>
      <c r="H132" s="16">
        <v>0.4</v>
      </c>
      <c r="I132" s="15">
        <f>H132*$I$129</f>
        <v>2000</v>
      </c>
      <c r="J132" s="15">
        <f t="shared" si="38"/>
        <v>4000</v>
      </c>
    </row>
    <row r="133" spans="1:11" ht="56.25" x14ac:dyDescent="0.3">
      <c r="A133" s="20">
        <v>14</v>
      </c>
      <c r="B133" s="20" t="s">
        <v>36</v>
      </c>
      <c r="C133" s="20"/>
      <c r="D133" s="21" t="s">
        <v>79</v>
      </c>
      <c r="E133" s="22"/>
      <c r="F133" s="23">
        <v>1</v>
      </c>
      <c r="G133" s="23" t="s">
        <v>16</v>
      </c>
      <c r="H133" s="24"/>
      <c r="I133" s="23">
        <v>19880</v>
      </c>
      <c r="J133" s="23">
        <f>F133*I133</f>
        <v>19880</v>
      </c>
      <c r="K133" s="7"/>
    </row>
    <row r="134" spans="1:11" x14ac:dyDescent="0.3">
      <c r="A134" s="38"/>
      <c r="B134" s="38"/>
      <c r="C134" s="9"/>
      <c r="D134" s="12"/>
      <c r="E134" s="14" t="s">
        <v>41</v>
      </c>
      <c r="F134" s="15">
        <f>F133</f>
        <v>1</v>
      </c>
      <c r="G134" s="15" t="s">
        <v>16</v>
      </c>
      <c r="H134" s="16">
        <v>0.3</v>
      </c>
      <c r="I134" s="15">
        <f>H134*$I$133</f>
        <v>5964</v>
      </c>
      <c r="J134" s="15">
        <f>F134*I134</f>
        <v>5964</v>
      </c>
    </row>
    <row r="135" spans="1:11" x14ac:dyDescent="0.3">
      <c r="A135" s="38"/>
      <c r="B135" s="38"/>
      <c r="C135" s="9"/>
      <c r="D135" s="12"/>
      <c r="E135" s="14" t="s">
        <v>72</v>
      </c>
      <c r="F135" s="15">
        <f>F134</f>
        <v>1</v>
      </c>
      <c r="G135" s="15" t="s">
        <v>16</v>
      </c>
      <c r="H135" s="16">
        <v>0.2</v>
      </c>
      <c r="I135" s="15">
        <f>H135*$I$133</f>
        <v>3976</v>
      </c>
      <c r="J135" s="15">
        <f t="shared" ref="J135:J136" si="39">F135*I135</f>
        <v>3976</v>
      </c>
    </row>
    <row r="136" spans="1:11" x14ac:dyDescent="0.3">
      <c r="A136" s="39"/>
      <c r="B136" s="39"/>
      <c r="C136" s="6"/>
      <c r="D136" s="13"/>
      <c r="E136" s="14" t="s">
        <v>64</v>
      </c>
      <c r="F136" s="15">
        <f>F135</f>
        <v>1</v>
      </c>
      <c r="G136" s="15" t="s">
        <v>16</v>
      </c>
      <c r="H136" s="16">
        <v>0.5</v>
      </c>
      <c r="I136" s="15">
        <f>H136*$I$133</f>
        <v>9940</v>
      </c>
      <c r="J136" s="15">
        <f t="shared" si="39"/>
        <v>9940</v>
      </c>
    </row>
    <row r="137" spans="1:11" ht="56.25" x14ac:dyDescent="0.3">
      <c r="A137" s="20">
        <v>15</v>
      </c>
      <c r="B137" s="20" t="s">
        <v>36</v>
      </c>
      <c r="C137" s="20"/>
      <c r="D137" s="21" t="s">
        <v>79</v>
      </c>
      <c r="E137" s="22"/>
      <c r="F137" s="23">
        <v>1</v>
      </c>
      <c r="G137" s="23" t="s">
        <v>16</v>
      </c>
      <c r="H137" s="24"/>
      <c r="I137" s="23">
        <v>22500</v>
      </c>
      <c r="J137" s="23">
        <f>F137*I137</f>
        <v>22500</v>
      </c>
      <c r="K137" s="7"/>
    </row>
    <row r="138" spans="1:11" x14ac:dyDescent="0.3">
      <c r="A138" s="38"/>
      <c r="B138" s="38"/>
      <c r="C138" s="9"/>
      <c r="D138" s="12"/>
      <c r="E138" s="14" t="s">
        <v>41</v>
      </c>
      <c r="F138" s="15">
        <f>F137</f>
        <v>1</v>
      </c>
      <c r="G138" s="15" t="s">
        <v>16</v>
      </c>
      <c r="H138" s="16">
        <v>0.3</v>
      </c>
      <c r="I138" s="15">
        <f>H138*$I$137</f>
        <v>6750</v>
      </c>
      <c r="J138" s="15">
        <f>F138*I138</f>
        <v>6750</v>
      </c>
    </row>
    <row r="139" spans="1:11" x14ac:dyDescent="0.3">
      <c r="A139" s="38"/>
      <c r="B139" s="38"/>
      <c r="C139" s="9"/>
      <c r="D139" s="12"/>
      <c r="E139" s="14" t="s">
        <v>72</v>
      </c>
      <c r="F139" s="15">
        <f>F138</f>
        <v>1</v>
      </c>
      <c r="G139" s="15" t="s">
        <v>16</v>
      </c>
      <c r="H139" s="16">
        <v>0.2</v>
      </c>
      <c r="I139" s="15">
        <f>H139*$I$137</f>
        <v>4500</v>
      </c>
      <c r="J139" s="15">
        <f t="shared" ref="J139:J140" si="40">F139*I139</f>
        <v>4500</v>
      </c>
    </row>
    <row r="140" spans="1:11" x14ac:dyDescent="0.3">
      <c r="A140" s="39"/>
      <c r="B140" s="39"/>
      <c r="C140" s="6"/>
      <c r="D140" s="13"/>
      <c r="E140" s="14" t="s">
        <v>64</v>
      </c>
      <c r="F140" s="15">
        <f>F139</f>
        <v>1</v>
      </c>
      <c r="G140" s="15" t="s">
        <v>16</v>
      </c>
      <c r="H140" s="16">
        <v>0.5</v>
      </c>
      <c r="I140" s="15">
        <f>H140*$I$137</f>
        <v>11250</v>
      </c>
      <c r="J140" s="15">
        <f t="shared" si="40"/>
        <v>11250</v>
      </c>
    </row>
    <row r="141" spans="1:11" ht="56.25" x14ac:dyDescent="0.3">
      <c r="A141" s="20">
        <v>16</v>
      </c>
      <c r="B141" s="20" t="s">
        <v>36</v>
      </c>
      <c r="C141" s="20"/>
      <c r="D141" s="21" t="s">
        <v>80</v>
      </c>
      <c r="E141" s="22"/>
      <c r="F141" s="23">
        <v>1</v>
      </c>
      <c r="G141" s="23" t="s">
        <v>16</v>
      </c>
      <c r="H141" s="24"/>
      <c r="I141" s="23">
        <v>5600</v>
      </c>
      <c r="J141" s="23">
        <f>F141*I141</f>
        <v>5600</v>
      </c>
      <c r="K141" s="7"/>
    </row>
    <row r="142" spans="1:11" x14ac:dyDescent="0.3">
      <c r="A142" s="38"/>
      <c r="B142" s="38"/>
      <c r="C142" s="9"/>
      <c r="D142" s="12"/>
      <c r="E142" s="14" t="s">
        <v>41</v>
      </c>
      <c r="F142" s="15">
        <f>F141</f>
        <v>1</v>
      </c>
      <c r="G142" s="15" t="s">
        <v>16</v>
      </c>
      <c r="H142" s="16">
        <v>0.3</v>
      </c>
      <c r="I142" s="15">
        <f>H142*$I$141</f>
        <v>1680</v>
      </c>
      <c r="J142" s="15">
        <f>F142*I142</f>
        <v>1680</v>
      </c>
    </row>
    <row r="143" spans="1:11" x14ac:dyDescent="0.3">
      <c r="A143" s="38"/>
      <c r="B143" s="38"/>
      <c r="C143" s="9"/>
      <c r="D143" s="12"/>
      <c r="E143" s="14" t="s">
        <v>72</v>
      </c>
      <c r="F143" s="15">
        <f>F142</f>
        <v>1</v>
      </c>
      <c r="G143" s="15" t="s">
        <v>16</v>
      </c>
      <c r="H143" s="16">
        <v>0.2</v>
      </c>
      <c r="I143" s="15">
        <f>H143*$I$141</f>
        <v>1120</v>
      </c>
      <c r="J143" s="15">
        <f t="shared" ref="J143:J144" si="41">F143*I143</f>
        <v>1120</v>
      </c>
    </row>
    <row r="144" spans="1:11" x14ac:dyDescent="0.3">
      <c r="A144" s="39"/>
      <c r="B144" s="39"/>
      <c r="C144" s="6"/>
      <c r="D144" s="13"/>
      <c r="E144" s="14" t="s">
        <v>64</v>
      </c>
      <c r="F144" s="15">
        <f>F143</f>
        <v>1</v>
      </c>
      <c r="G144" s="15" t="s">
        <v>16</v>
      </c>
      <c r="H144" s="16">
        <v>0.5</v>
      </c>
      <c r="I144" s="15">
        <f>H144*$I$141</f>
        <v>2800</v>
      </c>
      <c r="J144" s="15">
        <f t="shared" si="41"/>
        <v>2800</v>
      </c>
    </row>
    <row r="145" spans="1:11" ht="56.25" x14ac:dyDescent="0.3">
      <c r="A145" s="20">
        <v>17</v>
      </c>
      <c r="B145" s="20" t="s">
        <v>36</v>
      </c>
      <c r="C145" s="20"/>
      <c r="D145" s="21" t="s">
        <v>81</v>
      </c>
      <c r="E145" s="22"/>
      <c r="F145" s="23">
        <v>2</v>
      </c>
      <c r="G145" s="23" t="s">
        <v>16</v>
      </c>
      <c r="H145" s="24"/>
      <c r="I145" s="23">
        <v>6500</v>
      </c>
      <c r="J145" s="23">
        <f>F145*I145</f>
        <v>13000</v>
      </c>
      <c r="K145" s="7"/>
    </row>
    <row r="146" spans="1:11" x14ac:dyDescent="0.3">
      <c r="A146" s="38"/>
      <c r="B146" s="38"/>
      <c r="C146" s="9"/>
      <c r="D146" s="12"/>
      <c r="E146" s="14" t="s">
        <v>41</v>
      </c>
      <c r="F146" s="15">
        <f>F145</f>
        <v>2</v>
      </c>
      <c r="G146" s="15" t="s">
        <v>16</v>
      </c>
      <c r="H146" s="16">
        <v>0.3</v>
      </c>
      <c r="I146" s="15">
        <f>H146*$I$145</f>
        <v>1950</v>
      </c>
      <c r="J146" s="15">
        <f>F146*I146</f>
        <v>3900</v>
      </c>
    </row>
    <row r="147" spans="1:11" x14ac:dyDescent="0.3">
      <c r="A147" s="38"/>
      <c r="B147" s="38"/>
      <c r="C147" s="9"/>
      <c r="D147" s="12"/>
      <c r="E147" s="14" t="s">
        <v>72</v>
      </c>
      <c r="F147" s="15">
        <f>F146</f>
        <v>2</v>
      </c>
      <c r="G147" s="15" t="s">
        <v>16</v>
      </c>
      <c r="H147" s="16">
        <v>0.2</v>
      </c>
      <c r="I147" s="15">
        <f>H147*$I$145</f>
        <v>1300</v>
      </c>
      <c r="J147" s="15">
        <f t="shared" ref="J147:J148" si="42">F147*I147</f>
        <v>2600</v>
      </c>
    </row>
    <row r="148" spans="1:11" x14ac:dyDescent="0.3">
      <c r="A148" s="39"/>
      <c r="B148" s="39"/>
      <c r="C148" s="6"/>
      <c r="D148" s="13"/>
      <c r="E148" s="14" t="s">
        <v>64</v>
      </c>
      <c r="F148" s="15">
        <f>F147</f>
        <v>2</v>
      </c>
      <c r="G148" s="15" t="s">
        <v>16</v>
      </c>
      <c r="H148" s="16">
        <v>0.5</v>
      </c>
      <c r="I148" s="15">
        <f>H148*$I$145</f>
        <v>3250</v>
      </c>
      <c r="J148" s="15">
        <f t="shared" si="42"/>
        <v>6500</v>
      </c>
    </row>
    <row r="149" spans="1:11" ht="56.25" x14ac:dyDescent="0.3">
      <c r="A149" s="20">
        <v>18</v>
      </c>
      <c r="B149" s="20" t="s">
        <v>36</v>
      </c>
      <c r="C149" s="20"/>
      <c r="D149" s="21" t="s">
        <v>82</v>
      </c>
      <c r="E149" s="22"/>
      <c r="F149" s="23">
        <v>1</v>
      </c>
      <c r="G149" s="23" t="s">
        <v>16</v>
      </c>
      <c r="H149" s="24"/>
      <c r="I149" s="23">
        <v>15000</v>
      </c>
      <c r="J149" s="23">
        <f>F149*I149</f>
        <v>15000</v>
      </c>
      <c r="K149" s="7"/>
    </row>
    <row r="150" spans="1:11" x14ac:dyDescent="0.3">
      <c r="A150" s="38"/>
      <c r="B150" s="38"/>
      <c r="C150" s="9"/>
      <c r="D150" s="12"/>
      <c r="E150" s="14" t="s">
        <v>41</v>
      </c>
      <c r="F150" s="15">
        <f>F149</f>
        <v>1</v>
      </c>
      <c r="G150" s="15" t="s">
        <v>16</v>
      </c>
      <c r="H150" s="16">
        <v>0.3</v>
      </c>
      <c r="I150" s="15">
        <f>H150*$I$149</f>
        <v>4500</v>
      </c>
      <c r="J150" s="15">
        <f>F150*I150</f>
        <v>4500</v>
      </c>
    </row>
    <row r="151" spans="1:11" x14ac:dyDescent="0.3">
      <c r="A151" s="38"/>
      <c r="B151" s="38"/>
      <c r="C151" s="9"/>
      <c r="D151" s="12"/>
      <c r="E151" s="14" t="s">
        <v>72</v>
      </c>
      <c r="F151" s="15">
        <f>F150</f>
        <v>1</v>
      </c>
      <c r="G151" s="15" t="s">
        <v>16</v>
      </c>
      <c r="H151" s="16">
        <v>0.2</v>
      </c>
      <c r="I151" s="15">
        <f>H151*$I$149</f>
        <v>3000</v>
      </c>
      <c r="J151" s="15">
        <f t="shared" ref="J151:J152" si="43">F151*I151</f>
        <v>3000</v>
      </c>
    </row>
    <row r="152" spans="1:11" x14ac:dyDescent="0.3">
      <c r="A152" s="39"/>
      <c r="B152" s="39"/>
      <c r="C152" s="6"/>
      <c r="D152" s="13"/>
      <c r="E152" s="14" t="s">
        <v>64</v>
      </c>
      <c r="F152" s="15">
        <f>F151</f>
        <v>1</v>
      </c>
      <c r="G152" s="15" t="s">
        <v>16</v>
      </c>
      <c r="H152" s="16">
        <v>0.5</v>
      </c>
      <c r="I152" s="15">
        <f>H152*$I$149</f>
        <v>7500</v>
      </c>
      <c r="J152" s="15">
        <f t="shared" si="43"/>
        <v>7500</v>
      </c>
    </row>
    <row r="153" spans="1:11" ht="75" x14ac:dyDescent="0.3">
      <c r="A153" s="20">
        <v>19</v>
      </c>
      <c r="B153" s="20" t="s">
        <v>36</v>
      </c>
      <c r="C153" s="20"/>
      <c r="D153" s="25" t="s">
        <v>83</v>
      </c>
      <c r="E153" s="22"/>
      <c r="F153" s="23">
        <v>8</v>
      </c>
      <c r="G153" s="23" t="s">
        <v>16</v>
      </c>
      <c r="H153" s="24"/>
      <c r="I153" s="23">
        <v>3100</v>
      </c>
      <c r="J153" s="23">
        <f>F153*I153</f>
        <v>24800</v>
      </c>
      <c r="K153" s="7"/>
    </row>
    <row r="154" spans="1:11" x14ac:dyDescent="0.3">
      <c r="A154" s="38"/>
      <c r="B154" s="38"/>
      <c r="C154" s="9"/>
      <c r="D154" s="12"/>
      <c r="E154" s="14" t="s">
        <v>41</v>
      </c>
      <c r="F154" s="15">
        <f>F153</f>
        <v>8</v>
      </c>
      <c r="G154" s="15" t="s">
        <v>16</v>
      </c>
      <c r="H154" s="16">
        <v>0.3</v>
      </c>
      <c r="I154" s="15">
        <f>H154*$I$153</f>
        <v>930</v>
      </c>
      <c r="J154" s="15">
        <f>F154*I154</f>
        <v>7440</v>
      </c>
    </row>
    <row r="155" spans="1:11" x14ac:dyDescent="0.3">
      <c r="A155" s="38"/>
      <c r="B155" s="38"/>
      <c r="C155" s="9"/>
      <c r="D155" s="12"/>
      <c r="E155" s="14" t="s">
        <v>72</v>
      </c>
      <c r="F155" s="15">
        <f>F154</f>
        <v>8</v>
      </c>
      <c r="G155" s="15" t="s">
        <v>16</v>
      </c>
      <c r="H155" s="16">
        <v>0.2</v>
      </c>
      <c r="I155" s="15">
        <f>H155*$I$153</f>
        <v>620</v>
      </c>
      <c r="J155" s="15">
        <f t="shared" ref="J155:J156" si="44">F155*I155</f>
        <v>4960</v>
      </c>
    </row>
    <row r="156" spans="1:11" x14ac:dyDescent="0.3">
      <c r="A156" s="39"/>
      <c r="B156" s="39"/>
      <c r="C156" s="6"/>
      <c r="D156" s="13"/>
      <c r="E156" s="14" t="s">
        <v>64</v>
      </c>
      <c r="F156" s="15">
        <f>F155</f>
        <v>8</v>
      </c>
      <c r="G156" s="15" t="s">
        <v>16</v>
      </c>
      <c r="H156" s="16">
        <v>0.5</v>
      </c>
      <c r="I156" s="15">
        <f>H156*$I$153</f>
        <v>1550</v>
      </c>
      <c r="J156" s="15">
        <f t="shared" si="44"/>
        <v>12400</v>
      </c>
    </row>
    <row r="157" spans="1:11" ht="75" x14ac:dyDescent="0.3">
      <c r="A157" s="20">
        <v>20</v>
      </c>
      <c r="B157" s="20" t="s">
        <v>36</v>
      </c>
      <c r="C157" s="20"/>
      <c r="D157" s="25" t="s">
        <v>84</v>
      </c>
      <c r="E157" s="22"/>
      <c r="F157" s="23">
        <v>1</v>
      </c>
      <c r="G157" s="23" t="s">
        <v>16</v>
      </c>
      <c r="H157" s="24"/>
      <c r="I157" s="23">
        <v>3500</v>
      </c>
      <c r="J157" s="23">
        <f>F157*I157</f>
        <v>3500</v>
      </c>
      <c r="K157" s="7"/>
    </row>
    <row r="158" spans="1:11" x14ac:dyDescent="0.3">
      <c r="A158" s="38"/>
      <c r="B158" s="38"/>
      <c r="C158" s="9"/>
      <c r="D158" s="12"/>
      <c r="E158" s="14" t="s">
        <v>41</v>
      </c>
      <c r="F158" s="15">
        <f>F157</f>
        <v>1</v>
      </c>
      <c r="G158" s="15" t="s">
        <v>16</v>
      </c>
      <c r="H158" s="16">
        <v>0.3</v>
      </c>
      <c r="I158" s="15">
        <f>H158*$I$157</f>
        <v>1050</v>
      </c>
      <c r="J158" s="15">
        <f>F158*I158</f>
        <v>1050</v>
      </c>
    </row>
    <row r="159" spans="1:11" x14ac:dyDescent="0.3">
      <c r="A159" s="38"/>
      <c r="B159" s="38"/>
      <c r="C159" s="9"/>
      <c r="D159" s="12"/>
      <c r="E159" s="14" t="s">
        <v>72</v>
      </c>
      <c r="F159" s="15">
        <f>F158</f>
        <v>1</v>
      </c>
      <c r="G159" s="15" t="s">
        <v>16</v>
      </c>
      <c r="H159" s="16">
        <v>0.2</v>
      </c>
      <c r="I159" s="15">
        <f>H159*$I$157</f>
        <v>700</v>
      </c>
      <c r="J159" s="15">
        <f t="shared" ref="J159:J160" si="45">F159*I159</f>
        <v>700</v>
      </c>
    </row>
    <row r="160" spans="1:11" x14ac:dyDescent="0.3">
      <c r="A160" s="39"/>
      <c r="B160" s="39"/>
      <c r="C160" s="6"/>
      <c r="D160" s="13"/>
      <c r="E160" s="14" t="s">
        <v>64</v>
      </c>
      <c r="F160" s="15">
        <f>F159</f>
        <v>1</v>
      </c>
      <c r="G160" s="15" t="s">
        <v>16</v>
      </c>
      <c r="H160" s="16">
        <v>0.5</v>
      </c>
      <c r="I160" s="15">
        <f>H160*$I$157</f>
        <v>1750</v>
      </c>
      <c r="J160" s="15">
        <f t="shared" si="45"/>
        <v>1750</v>
      </c>
    </row>
  </sheetData>
  <mergeCells count="54">
    <mergeCell ref="A142:A144"/>
    <mergeCell ref="B142:B144"/>
    <mergeCell ref="A158:A160"/>
    <mergeCell ref="B158:B160"/>
    <mergeCell ref="A146:A148"/>
    <mergeCell ref="B146:B148"/>
    <mergeCell ref="A150:A152"/>
    <mergeCell ref="B150:B152"/>
    <mergeCell ref="A154:A156"/>
    <mergeCell ref="B154:B156"/>
    <mergeCell ref="A130:A132"/>
    <mergeCell ref="B130:B132"/>
    <mergeCell ref="A134:A136"/>
    <mergeCell ref="B134:B136"/>
    <mergeCell ref="A138:A140"/>
    <mergeCell ref="B138:B140"/>
    <mergeCell ref="A118:A120"/>
    <mergeCell ref="B118:B120"/>
    <mergeCell ref="A122:A124"/>
    <mergeCell ref="B122:B124"/>
    <mergeCell ref="A126:A128"/>
    <mergeCell ref="B126:B128"/>
    <mergeCell ref="A106:A108"/>
    <mergeCell ref="B106:B108"/>
    <mergeCell ref="A110:A112"/>
    <mergeCell ref="B110:B112"/>
    <mergeCell ref="A114:A116"/>
    <mergeCell ref="B114:B116"/>
    <mergeCell ref="A94:A97"/>
    <mergeCell ref="B94:B97"/>
    <mergeCell ref="D98:J98"/>
    <mergeCell ref="A100:A104"/>
    <mergeCell ref="B100:B104"/>
    <mergeCell ref="B29:B33"/>
    <mergeCell ref="A79:A85"/>
    <mergeCell ref="B79:B85"/>
    <mergeCell ref="A87:A91"/>
    <mergeCell ref="B87:B91"/>
    <mergeCell ref="D2:J2"/>
    <mergeCell ref="B4:B10"/>
    <mergeCell ref="A4:A10"/>
    <mergeCell ref="D92:J92"/>
    <mergeCell ref="A70:A74"/>
    <mergeCell ref="B70:B74"/>
    <mergeCell ref="A76:A77"/>
    <mergeCell ref="B76:B77"/>
    <mergeCell ref="D49:J49"/>
    <mergeCell ref="D68:J68"/>
    <mergeCell ref="D34:J34"/>
    <mergeCell ref="A12:A19"/>
    <mergeCell ref="B12:B19"/>
    <mergeCell ref="A21:A27"/>
    <mergeCell ref="B21:B27"/>
    <mergeCell ref="A29:A33"/>
  </mergeCells>
  <pageMargins left="0.7" right="0.7" top="0.75" bottom="0.75" header="0.3" footer="0.3"/>
  <pageSetup paperSize="9" scale="61" orientation="portrait" horizontalDpi="4294967293" verticalDpi="4294967293" r:id="rId1"/>
  <rowBreaks count="2" manualBreakCount="2">
    <brk id="48" max="16383" man="1"/>
    <brk id="104" max="8"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5A8F-6B35-4F05-A5B1-D732E558F182}">
  <dimension ref="A1:R163"/>
  <sheetViews>
    <sheetView view="pageBreakPreview" zoomScaleNormal="100" zoomScaleSheetLayoutView="100" workbookViewId="0">
      <selection activeCell="C4" sqref="C4"/>
    </sheetView>
  </sheetViews>
  <sheetFormatPr defaultRowHeight="16.5" x14ac:dyDescent="0.3"/>
  <cols>
    <col min="1" max="1" width="6" style="26" bestFit="1" customWidth="1"/>
    <col min="2" max="3" width="10.375" style="26" customWidth="1"/>
    <col min="4" max="4" width="59.875" style="26" customWidth="1"/>
    <col min="5" max="5" width="17.5" style="26" bestFit="1" customWidth="1"/>
    <col min="6" max="7" width="9" style="26"/>
    <col min="8" max="8" width="12.75" style="27" customWidth="1"/>
    <col min="9" max="9" width="10.625" style="31" customWidth="1"/>
    <col min="10" max="10" width="11.625" style="31" customWidth="1"/>
    <col min="11" max="11" width="1.625" style="31" customWidth="1"/>
    <col min="12" max="14" width="10.625" style="31" customWidth="1"/>
    <col min="15" max="15" width="1.625" style="31" customWidth="1"/>
    <col min="16" max="18" width="10.625" style="31" customWidth="1"/>
    <col min="19" max="16384" width="9" style="26"/>
  </cols>
  <sheetData>
    <row r="1" spans="1:18" ht="49.5" x14ac:dyDescent="0.3">
      <c r="A1" s="1" t="s">
        <v>0</v>
      </c>
      <c r="B1" s="1" t="s">
        <v>31</v>
      </c>
      <c r="C1" s="1" t="s">
        <v>100</v>
      </c>
      <c r="D1" s="2" t="s">
        <v>39</v>
      </c>
      <c r="E1" s="17" t="s">
        <v>38</v>
      </c>
      <c r="F1" s="1" t="s">
        <v>1</v>
      </c>
      <c r="G1" s="1" t="s">
        <v>2</v>
      </c>
      <c r="H1" s="18" t="s">
        <v>46</v>
      </c>
      <c r="I1" s="28" t="s">
        <v>3</v>
      </c>
      <c r="J1" s="28" t="s">
        <v>4</v>
      </c>
      <c r="L1" s="28" t="s">
        <v>86</v>
      </c>
      <c r="M1" s="28" t="s">
        <v>85</v>
      </c>
      <c r="N1" s="28" t="s">
        <v>88</v>
      </c>
      <c r="P1" s="28" t="s">
        <v>87</v>
      </c>
      <c r="Q1" s="28" t="s">
        <v>89</v>
      </c>
      <c r="R1" s="28" t="s">
        <v>90</v>
      </c>
    </row>
    <row r="2" spans="1:18" x14ac:dyDescent="0.3">
      <c r="A2" s="10">
        <v>1</v>
      </c>
      <c r="B2" s="11"/>
      <c r="C2" s="11"/>
      <c r="D2" s="40" t="s">
        <v>5</v>
      </c>
      <c r="E2" s="41"/>
      <c r="F2" s="41"/>
      <c r="G2" s="41"/>
      <c r="H2" s="41"/>
      <c r="I2" s="41"/>
      <c r="J2" s="41"/>
    </row>
    <row r="3" spans="1:18" ht="63" x14ac:dyDescent="0.3">
      <c r="A3" s="20">
        <f>A2+0.01</f>
        <v>1.01</v>
      </c>
      <c r="B3" s="20" t="s">
        <v>32</v>
      </c>
      <c r="C3" s="20"/>
      <c r="D3" s="21" t="s">
        <v>6</v>
      </c>
      <c r="E3" s="22"/>
      <c r="F3" s="23">
        <v>472</v>
      </c>
      <c r="G3" s="23" t="s">
        <v>7</v>
      </c>
      <c r="H3" s="24"/>
      <c r="I3" s="29">
        <v>108</v>
      </c>
      <c r="J3" s="29">
        <f>I3*F3</f>
        <v>50976</v>
      </c>
      <c r="L3" s="29">
        <f>P3/I3</f>
        <v>217.5</v>
      </c>
      <c r="M3" s="29">
        <f>Q3/I3</f>
        <v>61.599999999999994</v>
      </c>
      <c r="N3" s="29">
        <f>R3/I3</f>
        <v>192.9</v>
      </c>
      <c r="P3" s="29">
        <f>SUM(P4:P10)</f>
        <v>23490</v>
      </c>
      <c r="Q3" s="29">
        <f t="shared" ref="Q3:R3" si="0">SUM(Q4:Q10)</f>
        <v>6652.7999999999993</v>
      </c>
      <c r="R3" s="29">
        <f t="shared" si="0"/>
        <v>20833.2</v>
      </c>
    </row>
    <row r="4" spans="1:18" x14ac:dyDescent="0.3">
      <c r="A4" s="38"/>
      <c r="B4" s="38"/>
      <c r="C4" s="9"/>
      <c r="D4" s="12"/>
      <c r="E4" s="14" t="s">
        <v>41</v>
      </c>
      <c r="F4" s="15">
        <f t="shared" ref="F4:F10" si="1">F3</f>
        <v>472</v>
      </c>
      <c r="G4" s="15" t="s">
        <v>7</v>
      </c>
      <c r="H4" s="16">
        <v>0.3</v>
      </c>
      <c r="I4" s="30">
        <f>H4*$I$3</f>
        <v>32.4</v>
      </c>
      <c r="J4" s="30">
        <f>F4*I4</f>
        <v>15292.8</v>
      </c>
      <c r="L4" s="30">
        <v>400</v>
      </c>
      <c r="M4" s="32">
        <v>72</v>
      </c>
      <c r="N4" s="30">
        <f>F4-L4-M4</f>
        <v>0</v>
      </c>
      <c r="P4" s="30">
        <f>I4*L4</f>
        <v>12960</v>
      </c>
      <c r="Q4" s="30">
        <f>M4*I4</f>
        <v>2332.7999999999997</v>
      </c>
      <c r="R4" s="30">
        <f>J4-P4-Q4</f>
        <v>0</v>
      </c>
    </row>
    <row r="5" spans="1:18" x14ac:dyDescent="0.3">
      <c r="A5" s="38"/>
      <c r="B5" s="38"/>
      <c r="C5" s="9"/>
      <c r="D5" s="12"/>
      <c r="E5" s="14" t="s">
        <v>42</v>
      </c>
      <c r="F5" s="15">
        <f t="shared" si="1"/>
        <v>472</v>
      </c>
      <c r="G5" s="15" t="s">
        <v>7</v>
      </c>
      <c r="H5" s="16">
        <v>0.15</v>
      </c>
      <c r="I5" s="30">
        <f t="shared" ref="I5:I10" si="2">H5*$I$3</f>
        <v>16.2</v>
      </c>
      <c r="J5" s="30">
        <f t="shared" ref="J5:J10" si="3">F5*I5</f>
        <v>7646.4</v>
      </c>
      <c r="L5" s="30">
        <v>300</v>
      </c>
      <c r="M5" s="32">
        <v>100</v>
      </c>
      <c r="N5" s="30">
        <f t="shared" ref="N5:N10" si="4">F5-L5-M5</f>
        <v>72</v>
      </c>
      <c r="P5" s="30">
        <f t="shared" ref="P5:P10" si="5">I5*L5</f>
        <v>4860</v>
      </c>
      <c r="Q5" s="30">
        <f t="shared" ref="Q5:Q10" si="6">M5*I5</f>
        <v>1620</v>
      </c>
      <c r="R5" s="30">
        <f t="shared" ref="R5:R10" si="7">J5-P5-Q5</f>
        <v>1166.3999999999996</v>
      </c>
    </row>
    <row r="6" spans="1:18" x14ac:dyDescent="0.3">
      <c r="A6" s="38"/>
      <c r="B6" s="38"/>
      <c r="C6" s="9"/>
      <c r="D6" s="12"/>
      <c r="E6" s="14" t="s">
        <v>47</v>
      </c>
      <c r="F6" s="15">
        <f t="shared" si="1"/>
        <v>472</v>
      </c>
      <c r="G6" s="15" t="s">
        <v>7</v>
      </c>
      <c r="H6" s="16">
        <v>0.1</v>
      </c>
      <c r="I6" s="30">
        <f t="shared" si="2"/>
        <v>10.8</v>
      </c>
      <c r="J6" s="30">
        <f t="shared" si="3"/>
        <v>5097.6000000000004</v>
      </c>
      <c r="L6" s="30">
        <v>300</v>
      </c>
      <c r="M6" s="32">
        <v>100</v>
      </c>
      <c r="N6" s="30">
        <f t="shared" si="4"/>
        <v>72</v>
      </c>
      <c r="P6" s="30">
        <f t="shared" si="5"/>
        <v>3240</v>
      </c>
      <c r="Q6" s="30">
        <f t="shared" si="6"/>
        <v>1080</v>
      </c>
      <c r="R6" s="30">
        <f t="shared" si="7"/>
        <v>777.60000000000036</v>
      </c>
    </row>
    <row r="7" spans="1:18" x14ac:dyDescent="0.3">
      <c r="A7" s="38"/>
      <c r="B7" s="38"/>
      <c r="C7" s="9"/>
      <c r="D7" s="12"/>
      <c r="E7" s="14" t="s">
        <v>43</v>
      </c>
      <c r="F7" s="15">
        <f t="shared" si="1"/>
        <v>472</v>
      </c>
      <c r="G7" s="15" t="s">
        <v>7</v>
      </c>
      <c r="H7" s="16">
        <v>0.15</v>
      </c>
      <c r="I7" s="30">
        <f t="shared" si="2"/>
        <v>16.2</v>
      </c>
      <c r="J7" s="30">
        <f t="shared" si="3"/>
        <v>7646.4</v>
      </c>
      <c r="L7" s="30">
        <v>150</v>
      </c>
      <c r="M7" s="32">
        <v>100</v>
      </c>
      <c r="N7" s="30">
        <f t="shared" si="4"/>
        <v>222</v>
      </c>
      <c r="P7" s="30">
        <f t="shared" si="5"/>
        <v>2430</v>
      </c>
      <c r="Q7" s="30">
        <f t="shared" si="6"/>
        <v>1620</v>
      </c>
      <c r="R7" s="30">
        <f t="shared" si="7"/>
        <v>3596.3999999999996</v>
      </c>
    </row>
    <row r="8" spans="1:18" x14ac:dyDescent="0.3">
      <c r="A8" s="38"/>
      <c r="B8" s="38"/>
      <c r="C8" s="9"/>
      <c r="D8" s="12"/>
      <c r="E8" s="14" t="s">
        <v>44</v>
      </c>
      <c r="F8" s="15">
        <f t="shared" si="1"/>
        <v>472</v>
      </c>
      <c r="G8" s="15" t="s">
        <v>7</v>
      </c>
      <c r="H8" s="16">
        <v>0.15</v>
      </c>
      <c r="I8" s="30">
        <f t="shared" si="2"/>
        <v>16.2</v>
      </c>
      <c r="J8" s="30">
        <f t="shared" si="3"/>
        <v>7646.4</v>
      </c>
      <c r="L8" s="30">
        <v>0</v>
      </c>
      <c r="M8" s="32"/>
      <c r="N8" s="30">
        <f t="shared" si="4"/>
        <v>472</v>
      </c>
      <c r="P8" s="30">
        <f t="shared" si="5"/>
        <v>0</v>
      </c>
      <c r="Q8" s="30">
        <f t="shared" si="6"/>
        <v>0</v>
      </c>
      <c r="R8" s="30">
        <f t="shared" si="7"/>
        <v>7646.4</v>
      </c>
    </row>
    <row r="9" spans="1:18" x14ac:dyDescent="0.3">
      <c r="A9" s="38"/>
      <c r="B9" s="38"/>
      <c r="C9" s="9"/>
      <c r="D9" s="12"/>
      <c r="E9" s="14" t="s">
        <v>45</v>
      </c>
      <c r="F9" s="15">
        <f t="shared" si="1"/>
        <v>472</v>
      </c>
      <c r="G9" s="15" t="s">
        <v>7</v>
      </c>
      <c r="H9" s="16">
        <v>0.1</v>
      </c>
      <c r="I9" s="30">
        <f t="shared" si="2"/>
        <v>10.8</v>
      </c>
      <c r="J9" s="30">
        <f t="shared" si="3"/>
        <v>5097.6000000000004</v>
      </c>
      <c r="L9" s="30">
        <v>0</v>
      </c>
      <c r="M9" s="32"/>
      <c r="N9" s="30">
        <f t="shared" si="4"/>
        <v>472</v>
      </c>
      <c r="P9" s="30">
        <f t="shared" si="5"/>
        <v>0</v>
      </c>
      <c r="Q9" s="30">
        <f t="shared" si="6"/>
        <v>0</v>
      </c>
      <c r="R9" s="30">
        <f t="shared" si="7"/>
        <v>5097.6000000000004</v>
      </c>
    </row>
    <row r="10" spans="1:18" x14ac:dyDescent="0.3">
      <c r="A10" s="39"/>
      <c r="B10" s="39"/>
      <c r="C10" s="6"/>
      <c r="D10" s="13"/>
      <c r="E10" s="14" t="s">
        <v>40</v>
      </c>
      <c r="F10" s="15">
        <f t="shared" si="1"/>
        <v>472</v>
      </c>
      <c r="G10" s="15" t="s">
        <v>7</v>
      </c>
      <c r="H10" s="16">
        <v>0.05</v>
      </c>
      <c r="I10" s="30">
        <f t="shared" si="2"/>
        <v>5.4</v>
      </c>
      <c r="J10" s="30">
        <f t="shared" si="3"/>
        <v>2548.8000000000002</v>
      </c>
      <c r="L10" s="30">
        <v>0</v>
      </c>
      <c r="M10" s="32"/>
      <c r="N10" s="30">
        <f t="shared" si="4"/>
        <v>472</v>
      </c>
      <c r="P10" s="30">
        <f t="shared" si="5"/>
        <v>0</v>
      </c>
      <c r="Q10" s="30">
        <f t="shared" si="6"/>
        <v>0</v>
      </c>
      <c r="R10" s="30">
        <f t="shared" si="7"/>
        <v>2548.8000000000002</v>
      </c>
    </row>
    <row r="11" spans="1:18" ht="63" x14ac:dyDescent="0.3">
      <c r="A11" s="20">
        <f>A3+0.01</f>
        <v>1.02</v>
      </c>
      <c r="B11" s="20" t="s">
        <v>32</v>
      </c>
      <c r="C11" s="20"/>
      <c r="D11" s="21" t="s">
        <v>8</v>
      </c>
      <c r="E11" s="22"/>
      <c r="F11" s="23">
        <v>72</v>
      </c>
      <c r="G11" s="23" t="s">
        <v>7</v>
      </c>
      <c r="H11" s="24"/>
      <c r="I11" s="29">
        <v>210</v>
      </c>
      <c r="J11" s="29">
        <f t="shared" ref="J11:J28" si="8">I11*F11</f>
        <v>15120</v>
      </c>
      <c r="L11" s="29"/>
      <c r="M11" s="29"/>
      <c r="N11" s="29"/>
      <c r="P11" s="29"/>
      <c r="Q11" s="29"/>
      <c r="R11" s="29"/>
    </row>
    <row r="12" spans="1:18" x14ac:dyDescent="0.3">
      <c r="A12" s="38"/>
      <c r="B12" s="38"/>
      <c r="C12" s="9"/>
      <c r="D12" s="12"/>
      <c r="E12" s="14" t="s">
        <v>41</v>
      </c>
      <c r="F12" s="15">
        <f t="shared" ref="F12:F19" si="9">F11</f>
        <v>72</v>
      </c>
      <c r="G12" s="15" t="s">
        <v>7</v>
      </c>
      <c r="H12" s="16">
        <v>0.15</v>
      </c>
      <c r="I12" s="30">
        <f>H12*$I$11</f>
        <v>31.5</v>
      </c>
      <c r="J12" s="30">
        <f>F12*I12</f>
        <v>2268</v>
      </c>
      <c r="L12" s="30"/>
      <c r="M12" s="32"/>
      <c r="N12" s="30">
        <f t="shared" ref="N12:N19" si="10">F12-L12-M12</f>
        <v>72</v>
      </c>
      <c r="P12" s="30"/>
      <c r="Q12" s="30"/>
      <c r="R12" s="30"/>
    </row>
    <row r="13" spans="1:18" x14ac:dyDescent="0.3">
      <c r="A13" s="38"/>
      <c r="B13" s="38"/>
      <c r="C13" s="9"/>
      <c r="D13" s="12"/>
      <c r="E13" s="14" t="s">
        <v>48</v>
      </c>
      <c r="F13" s="15">
        <f t="shared" si="9"/>
        <v>72</v>
      </c>
      <c r="G13" s="15" t="s">
        <v>7</v>
      </c>
      <c r="H13" s="16">
        <v>0.15</v>
      </c>
      <c r="I13" s="30">
        <f>H13*$I$11</f>
        <v>31.5</v>
      </c>
      <c r="J13" s="30">
        <f>F13*I13</f>
        <v>2268</v>
      </c>
      <c r="L13" s="30"/>
      <c r="M13" s="32"/>
      <c r="N13" s="30">
        <f t="shared" si="10"/>
        <v>72</v>
      </c>
      <c r="P13" s="30"/>
      <c r="Q13" s="30"/>
      <c r="R13" s="30"/>
    </row>
    <row r="14" spans="1:18" x14ac:dyDescent="0.3">
      <c r="A14" s="38"/>
      <c r="B14" s="38"/>
      <c r="C14" s="9"/>
      <c r="D14" s="12"/>
      <c r="E14" s="14" t="s">
        <v>42</v>
      </c>
      <c r="F14" s="15">
        <f t="shared" si="9"/>
        <v>72</v>
      </c>
      <c r="G14" s="15" t="s">
        <v>7</v>
      </c>
      <c r="H14" s="16">
        <v>0.15</v>
      </c>
      <c r="I14" s="30">
        <f t="shared" ref="I14:I19" si="11">H14*$I$11</f>
        <v>31.5</v>
      </c>
      <c r="J14" s="30">
        <f t="shared" ref="J14:J19" si="12">F14*I14</f>
        <v>2268</v>
      </c>
      <c r="L14" s="30"/>
      <c r="M14" s="32"/>
      <c r="N14" s="30">
        <f t="shared" si="10"/>
        <v>72</v>
      </c>
      <c r="P14" s="30"/>
      <c r="Q14" s="30"/>
      <c r="R14" s="30"/>
    </row>
    <row r="15" spans="1:18" x14ac:dyDescent="0.3">
      <c r="A15" s="38"/>
      <c r="B15" s="38"/>
      <c r="C15" s="9"/>
      <c r="D15" s="12"/>
      <c r="E15" s="14" t="s">
        <v>47</v>
      </c>
      <c r="F15" s="15">
        <f t="shared" si="9"/>
        <v>72</v>
      </c>
      <c r="G15" s="15" t="s">
        <v>7</v>
      </c>
      <c r="H15" s="16">
        <v>0.1</v>
      </c>
      <c r="I15" s="30">
        <f t="shared" si="11"/>
        <v>21</v>
      </c>
      <c r="J15" s="30">
        <f t="shared" si="12"/>
        <v>1512</v>
      </c>
      <c r="L15" s="30"/>
      <c r="M15" s="32"/>
      <c r="N15" s="30">
        <f t="shared" si="10"/>
        <v>72</v>
      </c>
      <c r="P15" s="30"/>
      <c r="Q15" s="30"/>
      <c r="R15" s="30"/>
    </row>
    <row r="16" spans="1:18" x14ac:dyDescent="0.3">
      <c r="A16" s="38"/>
      <c r="B16" s="38"/>
      <c r="C16" s="9"/>
      <c r="D16" s="12"/>
      <c r="E16" s="14" t="s">
        <v>43</v>
      </c>
      <c r="F16" s="15">
        <f t="shared" si="9"/>
        <v>72</v>
      </c>
      <c r="G16" s="15" t="s">
        <v>7</v>
      </c>
      <c r="H16" s="16">
        <v>0.15</v>
      </c>
      <c r="I16" s="30">
        <f t="shared" si="11"/>
        <v>31.5</v>
      </c>
      <c r="J16" s="30">
        <f t="shared" si="12"/>
        <v>2268</v>
      </c>
      <c r="L16" s="30"/>
      <c r="M16" s="32"/>
      <c r="N16" s="30">
        <f t="shared" si="10"/>
        <v>72</v>
      </c>
      <c r="P16" s="30"/>
      <c r="Q16" s="30"/>
      <c r="R16" s="30"/>
    </row>
    <row r="17" spans="1:18" x14ac:dyDescent="0.3">
      <c r="A17" s="38"/>
      <c r="B17" s="38"/>
      <c r="C17" s="9"/>
      <c r="D17" s="12"/>
      <c r="E17" s="14" t="s">
        <v>44</v>
      </c>
      <c r="F17" s="15">
        <f t="shared" si="9"/>
        <v>72</v>
      </c>
      <c r="G17" s="15" t="s">
        <v>7</v>
      </c>
      <c r="H17" s="16">
        <v>0.15</v>
      </c>
      <c r="I17" s="30">
        <f t="shared" si="11"/>
        <v>31.5</v>
      </c>
      <c r="J17" s="30">
        <f t="shared" si="12"/>
        <v>2268</v>
      </c>
      <c r="L17" s="30"/>
      <c r="M17" s="32"/>
      <c r="N17" s="30">
        <f t="shared" si="10"/>
        <v>72</v>
      </c>
      <c r="P17" s="30"/>
      <c r="Q17" s="30"/>
      <c r="R17" s="30"/>
    </row>
    <row r="18" spans="1:18" x14ac:dyDescent="0.3">
      <c r="A18" s="38"/>
      <c r="B18" s="38"/>
      <c r="C18" s="9"/>
      <c r="D18" s="12"/>
      <c r="E18" s="14" t="s">
        <v>45</v>
      </c>
      <c r="F18" s="15">
        <f t="shared" si="9"/>
        <v>72</v>
      </c>
      <c r="G18" s="15" t="s">
        <v>7</v>
      </c>
      <c r="H18" s="16">
        <v>0.1</v>
      </c>
      <c r="I18" s="30">
        <f t="shared" si="11"/>
        <v>21</v>
      </c>
      <c r="J18" s="30">
        <f t="shared" si="12"/>
        <v>1512</v>
      </c>
      <c r="L18" s="30"/>
      <c r="M18" s="32"/>
      <c r="N18" s="30">
        <f t="shared" si="10"/>
        <v>72</v>
      </c>
      <c r="P18" s="30"/>
      <c r="Q18" s="30"/>
      <c r="R18" s="30"/>
    </row>
    <row r="19" spans="1:18" x14ac:dyDescent="0.3">
      <c r="A19" s="39"/>
      <c r="B19" s="39"/>
      <c r="C19" s="6"/>
      <c r="D19" s="13"/>
      <c r="E19" s="14" t="s">
        <v>40</v>
      </c>
      <c r="F19" s="15">
        <f t="shared" si="9"/>
        <v>72</v>
      </c>
      <c r="G19" s="15" t="s">
        <v>7</v>
      </c>
      <c r="H19" s="16">
        <v>0.05</v>
      </c>
      <c r="I19" s="30">
        <f t="shared" si="11"/>
        <v>10.5</v>
      </c>
      <c r="J19" s="30">
        <f t="shared" si="12"/>
        <v>756</v>
      </c>
      <c r="L19" s="30"/>
      <c r="M19" s="32"/>
      <c r="N19" s="30">
        <f t="shared" si="10"/>
        <v>72</v>
      </c>
      <c r="P19" s="30"/>
      <c r="Q19" s="30"/>
      <c r="R19" s="30"/>
    </row>
    <row r="20" spans="1:18" ht="63" x14ac:dyDescent="0.3">
      <c r="A20" s="20">
        <f>A11+0.01</f>
        <v>1.03</v>
      </c>
      <c r="B20" s="20" t="s">
        <v>32</v>
      </c>
      <c r="C20" s="20"/>
      <c r="D20" s="21" t="s">
        <v>9</v>
      </c>
      <c r="E20" s="22"/>
      <c r="F20" s="23">
        <v>13.2</v>
      </c>
      <c r="G20" s="23" t="s">
        <v>7</v>
      </c>
      <c r="H20" s="24"/>
      <c r="I20" s="29">
        <v>110</v>
      </c>
      <c r="J20" s="29">
        <f t="shared" si="8"/>
        <v>1452</v>
      </c>
      <c r="L20" s="29"/>
      <c r="M20" s="29"/>
      <c r="N20" s="29"/>
      <c r="P20" s="29"/>
      <c r="Q20" s="29"/>
      <c r="R20" s="29"/>
    </row>
    <row r="21" spans="1:18" x14ac:dyDescent="0.3">
      <c r="A21" s="38"/>
      <c r="B21" s="38"/>
      <c r="C21" s="9"/>
      <c r="D21" s="12"/>
      <c r="E21" s="14" t="s">
        <v>41</v>
      </c>
      <c r="F21" s="15">
        <f t="shared" ref="F21:F27" si="13">F20</f>
        <v>13.2</v>
      </c>
      <c r="G21" s="15" t="s">
        <v>7</v>
      </c>
      <c r="H21" s="16">
        <v>0.3</v>
      </c>
      <c r="I21" s="30">
        <f>H21*$I$20</f>
        <v>33</v>
      </c>
      <c r="J21" s="30">
        <f>F21*I21</f>
        <v>435.59999999999997</v>
      </c>
      <c r="L21" s="30"/>
      <c r="M21" s="32"/>
      <c r="N21" s="30">
        <f t="shared" ref="N21:N27" si="14">F21-L21-M21</f>
        <v>13.2</v>
      </c>
      <c r="P21" s="30"/>
      <c r="Q21" s="30"/>
      <c r="R21" s="30"/>
    </row>
    <row r="22" spans="1:18" x14ac:dyDescent="0.3">
      <c r="A22" s="38"/>
      <c r="B22" s="38"/>
      <c r="C22" s="9"/>
      <c r="D22" s="12"/>
      <c r="E22" s="14" t="s">
        <v>42</v>
      </c>
      <c r="F22" s="15">
        <f t="shared" si="13"/>
        <v>13.2</v>
      </c>
      <c r="G22" s="15" t="s">
        <v>7</v>
      </c>
      <c r="H22" s="16">
        <v>0.15</v>
      </c>
      <c r="I22" s="30">
        <f t="shared" ref="I22:I27" si="15">H22*$I$20</f>
        <v>16.5</v>
      </c>
      <c r="J22" s="30">
        <f t="shared" ref="J22:J27" si="16">F22*I22</f>
        <v>217.79999999999998</v>
      </c>
      <c r="L22" s="30"/>
      <c r="M22" s="32"/>
      <c r="N22" s="30">
        <f t="shared" si="14"/>
        <v>13.2</v>
      </c>
      <c r="P22" s="30"/>
      <c r="Q22" s="30"/>
      <c r="R22" s="30"/>
    </row>
    <row r="23" spans="1:18" x14ac:dyDescent="0.3">
      <c r="A23" s="38"/>
      <c r="B23" s="38"/>
      <c r="C23" s="9"/>
      <c r="D23" s="12"/>
      <c r="E23" s="14" t="s">
        <v>47</v>
      </c>
      <c r="F23" s="15">
        <f t="shared" si="13"/>
        <v>13.2</v>
      </c>
      <c r="G23" s="15" t="s">
        <v>7</v>
      </c>
      <c r="H23" s="16">
        <v>0.1</v>
      </c>
      <c r="I23" s="30">
        <f t="shared" si="15"/>
        <v>11</v>
      </c>
      <c r="J23" s="30">
        <f t="shared" si="16"/>
        <v>145.19999999999999</v>
      </c>
      <c r="L23" s="30"/>
      <c r="M23" s="32"/>
      <c r="N23" s="30">
        <f t="shared" si="14"/>
        <v>13.2</v>
      </c>
      <c r="P23" s="30"/>
      <c r="Q23" s="30"/>
      <c r="R23" s="30"/>
    </row>
    <row r="24" spans="1:18" x14ac:dyDescent="0.3">
      <c r="A24" s="38"/>
      <c r="B24" s="38"/>
      <c r="C24" s="9"/>
      <c r="D24" s="12"/>
      <c r="E24" s="14" t="s">
        <v>43</v>
      </c>
      <c r="F24" s="15">
        <f t="shared" si="13"/>
        <v>13.2</v>
      </c>
      <c r="G24" s="15" t="s">
        <v>7</v>
      </c>
      <c r="H24" s="16">
        <v>0.15</v>
      </c>
      <c r="I24" s="30">
        <f t="shared" si="15"/>
        <v>16.5</v>
      </c>
      <c r="J24" s="30">
        <f t="shared" si="16"/>
        <v>217.79999999999998</v>
      </c>
      <c r="L24" s="30"/>
      <c r="M24" s="32"/>
      <c r="N24" s="30">
        <f t="shared" si="14"/>
        <v>13.2</v>
      </c>
      <c r="P24" s="30"/>
      <c r="Q24" s="30"/>
      <c r="R24" s="30"/>
    </row>
    <row r="25" spans="1:18" x14ac:dyDescent="0.3">
      <c r="A25" s="38"/>
      <c r="B25" s="38"/>
      <c r="C25" s="9"/>
      <c r="D25" s="12"/>
      <c r="E25" s="14" t="s">
        <v>44</v>
      </c>
      <c r="F25" s="15">
        <f t="shared" si="13"/>
        <v>13.2</v>
      </c>
      <c r="G25" s="15" t="s">
        <v>7</v>
      </c>
      <c r="H25" s="16">
        <v>0.15</v>
      </c>
      <c r="I25" s="30">
        <f t="shared" si="15"/>
        <v>16.5</v>
      </c>
      <c r="J25" s="30">
        <f t="shared" si="16"/>
        <v>217.79999999999998</v>
      </c>
      <c r="L25" s="30"/>
      <c r="M25" s="32"/>
      <c r="N25" s="30">
        <f t="shared" si="14"/>
        <v>13.2</v>
      </c>
      <c r="P25" s="30"/>
      <c r="Q25" s="30"/>
      <c r="R25" s="30"/>
    </row>
    <row r="26" spans="1:18" x14ac:dyDescent="0.3">
      <c r="A26" s="38"/>
      <c r="B26" s="38"/>
      <c r="C26" s="9"/>
      <c r="D26" s="12"/>
      <c r="E26" s="14" t="s">
        <v>45</v>
      </c>
      <c r="F26" s="15">
        <f t="shared" si="13"/>
        <v>13.2</v>
      </c>
      <c r="G26" s="15" t="s">
        <v>7</v>
      </c>
      <c r="H26" s="16">
        <v>0.1</v>
      </c>
      <c r="I26" s="30">
        <f t="shared" si="15"/>
        <v>11</v>
      </c>
      <c r="J26" s="30">
        <f t="shared" si="16"/>
        <v>145.19999999999999</v>
      </c>
      <c r="L26" s="30"/>
      <c r="M26" s="32"/>
      <c r="N26" s="30">
        <f t="shared" si="14"/>
        <v>13.2</v>
      </c>
      <c r="P26" s="30"/>
      <c r="Q26" s="30"/>
      <c r="R26" s="30"/>
    </row>
    <row r="27" spans="1:18" x14ac:dyDescent="0.3">
      <c r="A27" s="39"/>
      <c r="B27" s="39"/>
      <c r="C27" s="6"/>
      <c r="D27" s="13"/>
      <c r="E27" s="14" t="s">
        <v>40</v>
      </c>
      <c r="F27" s="15">
        <f t="shared" si="13"/>
        <v>13.2</v>
      </c>
      <c r="G27" s="15" t="s">
        <v>7</v>
      </c>
      <c r="H27" s="16">
        <v>0.05</v>
      </c>
      <c r="I27" s="30">
        <f t="shared" si="15"/>
        <v>5.5</v>
      </c>
      <c r="J27" s="30">
        <f t="shared" si="16"/>
        <v>72.599999999999994</v>
      </c>
      <c r="L27" s="30"/>
      <c r="M27" s="32"/>
      <c r="N27" s="30">
        <f t="shared" si="14"/>
        <v>13.2</v>
      </c>
      <c r="P27" s="30"/>
      <c r="Q27" s="30"/>
      <c r="R27" s="30"/>
    </row>
    <row r="28" spans="1:18" ht="63" x14ac:dyDescent="0.3">
      <c r="A28" s="20">
        <f t="shared" ref="A28" si="17">A20+0.01</f>
        <v>1.04</v>
      </c>
      <c r="B28" s="20" t="s">
        <v>32</v>
      </c>
      <c r="C28" s="20"/>
      <c r="D28" s="21" t="s">
        <v>10</v>
      </c>
      <c r="E28" s="22"/>
      <c r="F28" s="23">
        <v>188</v>
      </c>
      <c r="G28" s="23" t="s">
        <v>7</v>
      </c>
      <c r="H28" s="24"/>
      <c r="I28" s="29">
        <v>95</v>
      </c>
      <c r="J28" s="29">
        <f t="shared" si="8"/>
        <v>17860</v>
      </c>
      <c r="L28" s="29"/>
      <c r="M28" s="29"/>
      <c r="N28" s="29"/>
      <c r="P28" s="29"/>
      <c r="Q28" s="29"/>
      <c r="R28" s="29"/>
    </row>
    <row r="29" spans="1:18" x14ac:dyDescent="0.3">
      <c r="A29" s="38"/>
      <c r="B29" s="38"/>
      <c r="C29" s="9"/>
      <c r="D29" s="12"/>
      <c r="E29" s="14" t="s">
        <v>41</v>
      </c>
      <c r="F29" s="15">
        <f>F28</f>
        <v>188</v>
      </c>
      <c r="G29" s="15" t="s">
        <v>7</v>
      </c>
      <c r="H29" s="16">
        <v>0.3</v>
      </c>
      <c r="I29" s="30">
        <f>H29*$I$28</f>
        <v>28.5</v>
      </c>
      <c r="J29" s="30">
        <f>F29*I29</f>
        <v>5358</v>
      </c>
      <c r="L29" s="30"/>
      <c r="M29" s="32"/>
      <c r="N29" s="30"/>
      <c r="P29" s="30"/>
      <c r="Q29" s="30"/>
      <c r="R29" s="30"/>
    </row>
    <row r="30" spans="1:18" x14ac:dyDescent="0.3">
      <c r="A30" s="38"/>
      <c r="B30" s="38"/>
      <c r="C30" s="9"/>
      <c r="D30" s="12"/>
      <c r="E30" s="14" t="s">
        <v>42</v>
      </c>
      <c r="F30" s="15">
        <f>F29</f>
        <v>188</v>
      </c>
      <c r="G30" s="15" t="s">
        <v>7</v>
      </c>
      <c r="H30" s="16">
        <v>0.15</v>
      </c>
      <c r="I30" s="30">
        <f>H30*$I$28</f>
        <v>14.25</v>
      </c>
      <c r="J30" s="30">
        <f t="shared" ref="J30:J33" si="18">F30*I30</f>
        <v>2679</v>
      </c>
      <c r="L30" s="30"/>
      <c r="M30" s="32"/>
      <c r="N30" s="30"/>
      <c r="P30" s="30"/>
      <c r="Q30" s="30"/>
      <c r="R30" s="30"/>
    </row>
    <row r="31" spans="1:18" x14ac:dyDescent="0.3">
      <c r="A31" s="38"/>
      <c r="B31" s="38"/>
      <c r="C31" s="9"/>
      <c r="D31" s="12"/>
      <c r="E31" s="14" t="s">
        <v>44</v>
      </c>
      <c r="F31" s="15">
        <f>F30</f>
        <v>188</v>
      </c>
      <c r="G31" s="15" t="s">
        <v>7</v>
      </c>
      <c r="H31" s="16">
        <v>0.15</v>
      </c>
      <c r="I31" s="30">
        <f>H31*$I$28</f>
        <v>14.25</v>
      </c>
      <c r="J31" s="30">
        <f t="shared" si="18"/>
        <v>2679</v>
      </c>
      <c r="L31" s="30"/>
      <c r="M31" s="32"/>
      <c r="N31" s="30"/>
      <c r="P31" s="30"/>
      <c r="Q31" s="30"/>
      <c r="R31" s="30"/>
    </row>
    <row r="32" spans="1:18" x14ac:dyDescent="0.3">
      <c r="A32" s="38"/>
      <c r="B32" s="38"/>
      <c r="C32" s="9"/>
      <c r="D32" s="12"/>
      <c r="E32" s="14" t="s">
        <v>45</v>
      </c>
      <c r="F32" s="15">
        <f>F31</f>
        <v>188</v>
      </c>
      <c r="G32" s="15" t="s">
        <v>7</v>
      </c>
      <c r="H32" s="16">
        <v>0.1</v>
      </c>
      <c r="I32" s="30">
        <f>H32*$I$28</f>
        <v>9.5</v>
      </c>
      <c r="J32" s="30">
        <f t="shared" si="18"/>
        <v>1786</v>
      </c>
      <c r="L32" s="30"/>
      <c r="M32" s="32"/>
      <c r="N32" s="30"/>
      <c r="P32" s="30"/>
      <c r="Q32" s="30"/>
      <c r="R32" s="30"/>
    </row>
    <row r="33" spans="1:18" x14ac:dyDescent="0.3">
      <c r="A33" s="39"/>
      <c r="B33" s="39"/>
      <c r="C33" s="6"/>
      <c r="D33" s="13"/>
      <c r="E33" s="14" t="s">
        <v>40</v>
      </c>
      <c r="F33" s="15">
        <f>F32</f>
        <v>188</v>
      </c>
      <c r="G33" s="15" t="s">
        <v>7</v>
      </c>
      <c r="H33" s="16">
        <v>0.05</v>
      </c>
      <c r="I33" s="30">
        <f>H33*$I$28</f>
        <v>4.75</v>
      </c>
      <c r="J33" s="30">
        <f t="shared" si="18"/>
        <v>893</v>
      </c>
      <c r="L33" s="30"/>
      <c r="M33" s="32"/>
      <c r="N33" s="30"/>
      <c r="P33" s="30"/>
      <c r="Q33" s="30"/>
      <c r="R33" s="30"/>
    </row>
    <row r="34" spans="1:18" x14ac:dyDescent="0.3">
      <c r="A34" s="3">
        <v>2</v>
      </c>
      <c r="B34" s="5"/>
      <c r="C34" s="5"/>
      <c r="D34" s="42" t="s">
        <v>11</v>
      </c>
      <c r="E34" s="41"/>
      <c r="F34" s="41"/>
      <c r="G34" s="41"/>
      <c r="H34" s="41"/>
      <c r="I34" s="41"/>
      <c r="J34" s="41"/>
    </row>
    <row r="35" spans="1:18" ht="94.5" x14ac:dyDescent="0.3">
      <c r="A35" s="20">
        <f>A34+0.01</f>
        <v>2.0099999999999998</v>
      </c>
      <c r="B35" s="20" t="s">
        <v>33</v>
      </c>
      <c r="C35" s="20"/>
      <c r="D35" s="21" t="s">
        <v>29</v>
      </c>
      <c r="E35" s="22"/>
      <c r="F35" s="23">
        <v>166</v>
      </c>
      <c r="G35" s="23" t="s">
        <v>7</v>
      </c>
      <c r="H35" s="24"/>
      <c r="I35" s="29">
        <v>140</v>
      </c>
      <c r="J35" s="29">
        <f>I35*F35</f>
        <v>23240</v>
      </c>
      <c r="L35" s="29"/>
      <c r="M35" s="29"/>
      <c r="N35" s="29"/>
      <c r="P35" s="29"/>
      <c r="Q35" s="29"/>
      <c r="R35" s="29"/>
    </row>
    <row r="36" spans="1:18" ht="31.5" x14ac:dyDescent="0.3">
      <c r="A36" s="20">
        <f>A35+0.01</f>
        <v>2.0199999999999996</v>
      </c>
      <c r="B36" s="20" t="s">
        <v>33</v>
      </c>
      <c r="C36" s="20"/>
      <c r="D36" s="21" t="s">
        <v>12</v>
      </c>
      <c r="E36" s="22"/>
      <c r="F36" s="23">
        <v>166</v>
      </c>
      <c r="G36" s="23" t="s">
        <v>7</v>
      </c>
      <c r="H36" s="24"/>
      <c r="I36" s="29">
        <v>80</v>
      </c>
      <c r="J36" s="29">
        <f>I36*F36</f>
        <v>13280</v>
      </c>
      <c r="L36" s="29"/>
      <c r="M36" s="29"/>
      <c r="N36" s="29"/>
      <c r="P36" s="29"/>
      <c r="Q36" s="29"/>
      <c r="R36" s="29"/>
    </row>
    <row r="37" spans="1:18" x14ac:dyDescent="0.3">
      <c r="A37" s="9"/>
      <c r="B37" s="9"/>
      <c r="C37" s="9"/>
      <c r="D37" s="19"/>
      <c r="E37" s="14" t="s">
        <v>49</v>
      </c>
      <c r="F37" s="15">
        <f>F36</f>
        <v>166</v>
      </c>
      <c r="G37" s="15" t="s">
        <v>7</v>
      </c>
      <c r="H37" s="16">
        <v>0.6</v>
      </c>
      <c r="I37" s="30">
        <f>H37*$I$36</f>
        <v>48</v>
      </c>
      <c r="J37" s="30">
        <f>F37*I37</f>
        <v>7968</v>
      </c>
      <c r="L37" s="30"/>
      <c r="M37" s="32"/>
      <c r="N37" s="30"/>
      <c r="P37" s="30"/>
      <c r="Q37" s="30"/>
      <c r="R37" s="30"/>
    </row>
    <row r="38" spans="1:18" x14ac:dyDescent="0.3">
      <c r="A38" s="6"/>
      <c r="B38" s="6"/>
      <c r="C38" s="6"/>
      <c r="D38" s="4"/>
      <c r="E38" s="14" t="s">
        <v>50</v>
      </c>
      <c r="F38" s="15">
        <f>F37</f>
        <v>166</v>
      </c>
      <c r="G38" s="15" t="s">
        <v>7</v>
      </c>
      <c r="H38" s="16">
        <v>0.4</v>
      </c>
      <c r="I38" s="30">
        <f>H38*$I$36</f>
        <v>32</v>
      </c>
      <c r="J38" s="30">
        <f>F38*I38</f>
        <v>5312</v>
      </c>
      <c r="L38" s="30"/>
      <c r="M38" s="32"/>
      <c r="N38" s="30"/>
      <c r="P38" s="30"/>
      <c r="Q38" s="30"/>
      <c r="R38" s="30"/>
    </row>
    <row r="39" spans="1:18" ht="47.25" x14ac:dyDescent="0.3">
      <c r="A39" s="20">
        <f>A36+0.01</f>
        <v>2.0299999999999994</v>
      </c>
      <c r="B39" s="20" t="s">
        <v>33</v>
      </c>
      <c r="C39" s="20"/>
      <c r="D39" s="21" t="s">
        <v>30</v>
      </c>
      <c r="E39" s="22"/>
      <c r="F39" s="23">
        <v>52</v>
      </c>
      <c r="G39" s="23" t="s">
        <v>7</v>
      </c>
      <c r="H39" s="24"/>
      <c r="I39" s="29">
        <v>165</v>
      </c>
      <c r="J39" s="29">
        <f>I39*F39</f>
        <v>8580</v>
      </c>
      <c r="L39" s="29"/>
      <c r="M39" s="29"/>
      <c r="N39" s="29"/>
      <c r="P39" s="29"/>
      <c r="Q39" s="29"/>
      <c r="R39" s="29"/>
    </row>
    <row r="40" spans="1:18" x14ac:dyDescent="0.3">
      <c r="A40" s="9"/>
      <c r="B40" s="9"/>
      <c r="C40" s="9"/>
      <c r="D40" s="19"/>
      <c r="E40" s="14" t="s">
        <v>51</v>
      </c>
      <c r="F40" s="15">
        <f>F39</f>
        <v>52</v>
      </c>
      <c r="G40" s="15" t="s">
        <v>7</v>
      </c>
      <c r="H40" s="16">
        <v>0.9</v>
      </c>
      <c r="I40" s="30">
        <f>H40*$I$39</f>
        <v>148.5</v>
      </c>
      <c r="J40" s="30">
        <f>F40*I40</f>
        <v>7722</v>
      </c>
      <c r="L40" s="30"/>
      <c r="M40" s="32"/>
      <c r="N40" s="30"/>
      <c r="P40" s="30"/>
      <c r="Q40" s="30"/>
      <c r="R40" s="30"/>
    </row>
    <row r="41" spans="1:18" x14ac:dyDescent="0.3">
      <c r="A41" s="9"/>
      <c r="B41" s="9"/>
      <c r="C41" s="9"/>
      <c r="D41" s="19"/>
      <c r="E41" s="14" t="s">
        <v>52</v>
      </c>
      <c r="F41" s="15">
        <f>F40</f>
        <v>52</v>
      </c>
      <c r="G41" s="15" t="s">
        <v>7</v>
      </c>
      <c r="H41" s="16">
        <v>0.1</v>
      </c>
      <c r="I41" s="30">
        <f>H41*$I$39</f>
        <v>16.5</v>
      </c>
      <c r="J41" s="30">
        <f>F41*I41</f>
        <v>858</v>
      </c>
      <c r="L41" s="30"/>
      <c r="M41" s="32"/>
      <c r="N41" s="30"/>
      <c r="P41" s="30"/>
      <c r="Q41" s="30"/>
      <c r="R41" s="30"/>
    </row>
    <row r="42" spans="1:18" ht="63" x14ac:dyDescent="0.3">
      <c r="A42" s="20">
        <f>A39+0.01</f>
        <v>2.0399999999999991</v>
      </c>
      <c r="B42" s="20" t="s">
        <v>33</v>
      </c>
      <c r="C42" s="20"/>
      <c r="D42" s="21" t="s">
        <v>53</v>
      </c>
      <c r="E42" s="22"/>
      <c r="F42" s="23">
        <v>18</v>
      </c>
      <c r="G42" s="23" t="s">
        <v>7</v>
      </c>
      <c r="H42" s="24"/>
      <c r="I42" s="29">
        <v>145</v>
      </c>
      <c r="J42" s="29">
        <f>I42*F42</f>
        <v>2610</v>
      </c>
      <c r="L42" s="29"/>
      <c r="M42" s="29"/>
      <c r="N42" s="29"/>
      <c r="P42" s="29"/>
      <c r="Q42" s="29"/>
      <c r="R42" s="29"/>
    </row>
    <row r="43" spans="1:18" x14ac:dyDescent="0.3">
      <c r="A43" s="9"/>
      <c r="B43" s="9"/>
      <c r="C43" s="9"/>
      <c r="D43" s="19"/>
      <c r="E43" s="14" t="s">
        <v>51</v>
      </c>
      <c r="F43" s="15">
        <f>F42</f>
        <v>18</v>
      </c>
      <c r="G43" s="15" t="s">
        <v>7</v>
      </c>
      <c r="H43" s="16">
        <v>0.9</v>
      </c>
      <c r="I43" s="30">
        <f>H43*$I$42</f>
        <v>130.5</v>
      </c>
      <c r="J43" s="30">
        <f>F43*I43</f>
        <v>2349</v>
      </c>
      <c r="L43" s="30"/>
      <c r="M43" s="32"/>
      <c r="N43" s="30"/>
      <c r="P43" s="30"/>
      <c r="Q43" s="30"/>
      <c r="R43" s="30"/>
    </row>
    <row r="44" spans="1:18" x14ac:dyDescent="0.3">
      <c r="A44" s="9"/>
      <c r="B44" s="9"/>
      <c r="C44" s="9"/>
      <c r="D44" s="19"/>
      <c r="E44" s="14" t="s">
        <v>52</v>
      </c>
      <c r="F44" s="15">
        <f>F43</f>
        <v>18</v>
      </c>
      <c r="G44" s="15" t="s">
        <v>7</v>
      </c>
      <c r="H44" s="16">
        <v>0.1</v>
      </c>
      <c r="I44" s="30">
        <f>H44*$I$42</f>
        <v>14.5</v>
      </c>
      <c r="J44" s="30">
        <f>F44*I44</f>
        <v>261</v>
      </c>
      <c r="L44" s="30"/>
      <c r="M44" s="32"/>
      <c r="N44" s="30"/>
      <c r="P44" s="30"/>
      <c r="Q44" s="30"/>
      <c r="R44" s="30"/>
    </row>
    <row r="45" spans="1:18" ht="31.5" x14ac:dyDescent="0.3">
      <c r="A45" s="20">
        <f>A42+0.01</f>
        <v>2.0499999999999989</v>
      </c>
      <c r="B45" s="20" t="s">
        <v>33</v>
      </c>
      <c r="C45" s="20"/>
      <c r="D45" s="21" t="s">
        <v>13</v>
      </c>
      <c r="E45" s="22"/>
      <c r="F45" s="23">
        <v>299</v>
      </c>
      <c r="G45" s="23" t="s">
        <v>14</v>
      </c>
      <c r="H45" s="24"/>
      <c r="I45" s="29">
        <v>60</v>
      </c>
      <c r="J45" s="29">
        <f>I45*F45</f>
        <v>17940</v>
      </c>
      <c r="L45" s="29"/>
      <c r="M45" s="29"/>
      <c r="N45" s="29"/>
      <c r="P45" s="29"/>
      <c r="Q45" s="29"/>
      <c r="R45" s="29"/>
    </row>
    <row r="46" spans="1:18" x14ac:dyDescent="0.3">
      <c r="A46" s="9"/>
      <c r="B46" s="9"/>
      <c r="C46" s="9"/>
      <c r="D46" s="19"/>
      <c r="E46" s="14" t="s">
        <v>54</v>
      </c>
      <c r="F46" s="15">
        <f>F45</f>
        <v>299</v>
      </c>
      <c r="G46" s="15" t="s">
        <v>7</v>
      </c>
      <c r="H46" s="16">
        <v>0.9</v>
      </c>
      <c r="I46" s="30">
        <f>H46*$I$45</f>
        <v>54</v>
      </c>
      <c r="J46" s="30">
        <f>F46*I46</f>
        <v>16146</v>
      </c>
      <c r="L46" s="30"/>
      <c r="M46" s="32"/>
      <c r="N46" s="30"/>
      <c r="P46" s="30"/>
      <c r="Q46" s="30"/>
      <c r="R46" s="30"/>
    </row>
    <row r="47" spans="1:18" x14ac:dyDescent="0.3">
      <c r="A47" s="9"/>
      <c r="B47" s="9"/>
      <c r="C47" s="9"/>
      <c r="D47" s="19"/>
      <c r="E47" s="14" t="s">
        <v>52</v>
      </c>
      <c r="F47" s="15">
        <f>F46</f>
        <v>299</v>
      </c>
      <c r="G47" s="15" t="s">
        <v>7</v>
      </c>
      <c r="H47" s="16">
        <v>0.1</v>
      </c>
      <c r="I47" s="30">
        <f>H47*$I$45</f>
        <v>6</v>
      </c>
      <c r="J47" s="30">
        <f>F47*I47</f>
        <v>1794</v>
      </c>
      <c r="L47" s="30"/>
      <c r="M47" s="32"/>
      <c r="N47" s="30"/>
      <c r="P47" s="30"/>
      <c r="Q47" s="30"/>
      <c r="R47" s="30"/>
    </row>
    <row r="48" spans="1:18" ht="47.25" x14ac:dyDescent="0.3">
      <c r="A48" s="20">
        <f>A45+0.01</f>
        <v>2.0599999999999987</v>
      </c>
      <c r="B48" s="20" t="s">
        <v>33</v>
      </c>
      <c r="C48" s="20"/>
      <c r="D48" s="21" t="s">
        <v>15</v>
      </c>
      <c r="E48" s="22"/>
      <c r="F48" s="23">
        <v>12</v>
      </c>
      <c r="G48" s="23" t="s">
        <v>14</v>
      </c>
      <c r="H48" s="24"/>
      <c r="I48" s="29">
        <v>90</v>
      </c>
      <c r="J48" s="29">
        <f>I48*F48</f>
        <v>1080</v>
      </c>
      <c r="L48" s="29"/>
      <c r="M48" s="29"/>
      <c r="N48" s="29"/>
      <c r="P48" s="29"/>
      <c r="Q48" s="29"/>
      <c r="R48" s="29"/>
    </row>
    <row r="49" spans="1:18" x14ac:dyDescent="0.3">
      <c r="A49" s="3">
        <v>3</v>
      </c>
      <c r="B49" s="5"/>
      <c r="C49" s="5"/>
      <c r="D49" s="42" t="s">
        <v>17</v>
      </c>
      <c r="E49" s="41"/>
      <c r="F49" s="41"/>
      <c r="G49" s="41"/>
      <c r="H49" s="41"/>
      <c r="I49" s="41"/>
      <c r="J49" s="41"/>
    </row>
    <row r="50" spans="1:18" ht="63" x14ac:dyDescent="0.3">
      <c r="A50" s="20">
        <f>A49+0.01</f>
        <v>3.01</v>
      </c>
      <c r="B50" s="20" t="s">
        <v>34</v>
      </c>
      <c r="C50" s="20"/>
      <c r="D50" s="21" t="s">
        <v>18</v>
      </c>
      <c r="E50" s="22"/>
      <c r="F50" s="23">
        <v>105</v>
      </c>
      <c r="G50" s="23" t="s">
        <v>7</v>
      </c>
      <c r="H50" s="24"/>
      <c r="I50" s="29">
        <v>30</v>
      </c>
      <c r="J50" s="29">
        <f>I50*F50</f>
        <v>3150</v>
      </c>
      <c r="L50" s="29"/>
      <c r="M50" s="29"/>
      <c r="N50" s="29"/>
      <c r="P50" s="29"/>
      <c r="Q50" s="29"/>
      <c r="R50" s="29"/>
    </row>
    <row r="51" spans="1:18" x14ac:dyDescent="0.3">
      <c r="A51" s="9"/>
      <c r="B51" s="9"/>
      <c r="C51" s="9"/>
      <c r="D51" s="19"/>
      <c r="E51" s="14" t="s">
        <v>55</v>
      </c>
      <c r="F51" s="15">
        <f>F50</f>
        <v>105</v>
      </c>
      <c r="G51" s="15" t="s">
        <v>7</v>
      </c>
      <c r="H51" s="16">
        <v>0.15</v>
      </c>
      <c r="I51" s="30">
        <f>H51*$I$50</f>
        <v>4.5</v>
      </c>
      <c r="J51" s="30">
        <f>F51*I51</f>
        <v>472.5</v>
      </c>
      <c r="L51" s="30"/>
      <c r="M51" s="32"/>
      <c r="N51" s="30"/>
      <c r="P51" s="30"/>
      <c r="Q51" s="30"/>
      <c r="R51" s="30"/>
    </row>
    <row r="52" spans="1:18" x14ac:dyDescent="0.3">
      <c r="A52" s="9"/>
      <c r="B52" s="9"/>
      <c r="C52" s="9"/>
      <c r="D52" s="19"/>
      <c r="E52" s="14" t="s">
        <v>56</v>
      </c>
      <c r="F52" s="15">
        <f>F51</f>
        <v>105</v>
      </c>
      <c r="G52" s="15" t="s">
        <v>7</v>
      </c>
      <c r="H52" s="16">
        <v>0.2</v>
      </c>
      <c r="I52" s="30">
        <f t="shared" ref="I52:I55" si="19">H52*$I$50</f>
        <v>6</v>
      </c>
      <c r="J52" s="30">
        <f t="shared" ref="J52:J55" si="20">F52*I52</f>
        <v>630</v>
      </c>
      <c r="L52" s="30"/>
      <c r="M52" s="32"/>
      <c r="N52" s="30"/>
      <c r="P52" s="30"/>
      <c r="Q52" s="30"/>
      <c r="R52" s="30"/>
    </row>
    <row r="53" spans="1:18" x14ac:dyDescent="0.3">
      <c r="A53" s="9"/>
      <c r="B53" s="9"/>
      <c r="C53" s="9"/>
      <c r="D53" s="19"/>
      <c r="E53" s="14" t="s">
        <v>57</v>
      </c>
      <c r="F53" s="15">
        <f t="shared" ref="F53:F55" si="21">F52</f>
        <v>105</v>
      </c>
      <c r="G53" s="15" t="s">
        <v>7</v>
      </c>
      <c r="H53" s="16">
        <v>0.2</v>
      </c>
      <c r="I53" s="30">
        <f t="shared" si="19"/>
        <v>6</v>
      </c>
      <c r="J53" s="30">
        <f t="shared" si="20"/>
        <v>630</v>
      </c>
      <c r="L53" s="30"/>
      <c r="M53" s="32"/>
      <c r="N53" s="30"/>
      <c r="P53" s="30"/>
      <c r="Q53" s="30"/>
      <c r="R53" s="30"/>
    </row>
    <row r="54" spans="1:18" x14ac:dyDescent="0.3">
      <c r="A54" s="9"/>
      <c r="B54" s="9"/>
      <c r="C54" s="9"/>
      <c r="D54" s="19"/>
      <c r="E54" s="14" t="s">
        <v>58</v>
      </c>
      <c r="F54" s="15">
        <f t="shared" si="21"/>
        <v>105</v>
      </c>
      <c r="G54" s="15" t="s">
        <v>7</v>
      </c>
      <c r="H54" s="16">
        <v>0.2</v>
      </c>
      <c r="I54" s="30">
        <f t="shared" si="19"/>
        <v>6</v>
      </c>
      <c r="J54" s="30">
        <f t="shared" si="20"/>
        <v>630</v>
      </c>
      <c r="L54" s="30"/>
      <c r="M54" s="32"/>
      <c r="N54" s="30"/>
      <c r="P54" s="30"/>
      <c r="Q54" s="30"/>
      <c r="R54" s="30"/>
    </row>
    <row r="55" spans="1:18" x14ac:dyDescent="0.3">
      <c r="A55" s="9"/>
      <c r="B55" s="9"/>
      <c r="C55" s="9"/>
      <c r="D55" s="19"/>
      <c r="E55" s="14" t="s">
        <v>59</v>
      </c>
      <c r="F55" s="15">
        <f t="shared" si="21"/>
        <v>105</v>
      </c>
      <c r="G55" s="15" t="s">
        <v>7</v>
      </c>
      <c r="H55" s="16">
        <v>0.25</v>
      </c>
      <c r="I55" s="30">
        <f t="shared" si="19"/>
        <v>7.5</v>
      </c>
      <c r="J55" s="30">
        <f t="shared" si="20"/>
        <v>787.5</v>
      </c>
      <c r="L55" s="30"/>
      <c r="M55" s="32"/>
      <c r="N55" s="30"/>
      <c r="P55" s="30"/>
      <c r="Q55" s="30"/>
      <c r="R55" s="30"/>
    </row>
    <row r="56" spans="1:18" ht="63" x14ac:dyDescent="0.3">
      <c r="A56" s="20">
        <f>A50+0.01</f>
        <v>3.0199999999999996</v>
      </c>
      <c r="B56" s="20" t="s">
        <v>34</v>
      </c>
      <c r="C56" s="20"/>
      <c r="D56" s="21" t="s">
        <v>19</v>
      </c>
      <c r="E56" s="22"/>
      <c r="F56" s="23">
        <v>39</v>
      </c>
      <c r="G56" s="23" t="s">
        <v>7</v>
      </c>
      <c r="H56" s="24"/>
      <c r="I56" s="29">
        <v>30</v>
      </c>
      <c r="J56" s="29">
        <f t="shared" ref="J56:J62" si="22">I56*F56</f>
        <v>1170</v>
      </c>
      <c r="L56" s="29"/>
      <c r="M56" s="29"/>
      <c r="N56" s="29"/>
      <c r="P56" s="29"/>
      <c r="Q56" s="29"/>
      <c r="R56" s="29"/>
    </row>
    <row r="57" spans="1:18" x14ac:dyDescent="0.3">
      <c r="A57" s="9"/>
      <c r="B57" s="9"/>
      <c r="C57" s="9"/>
      <c r="D57" s="19"/>
      <c r="E57" s="14" t="s">
        <v>55</v>
      </c>
      <c r="F57" s="15">
        <f>F56</f>
        <v>39</v>
      </c>
      <c r="G57" s="15" t="s">
        <v>7</v>
      </c>
      <c r="H57" s="16">
        <v>0.15</v>
      </c>
      <c r="I57" s="30">
        <f>H57*$I$56</f>
        <v>4.5</v>
      </c>
      <c r="J57" s="30">
        <f>F57*I57</f>
        <v>175.5</v>
      </c>
      <c r="L57" s="30"/>
      <c r="M57" s="32"/>
      <c r="N57" s="30"/>
      <c r="P57" s="30"/>
      <c r="Q57" s="30"/>
      <c r="R57" s="30"/>
    </row>
    <row r="58" spans="1:18" x14ac:dyDescent="0.3">
      <c r="A58" s="9"/>
      <c r="B58" s="9"/>
      <c r="C58" s="9"/>
      <c r="D58" s="19"/>
      <c r="E58" s="14" t="s">
        <v>56</v>
      </c>
      <c r="F58" s="15">
        <f>F57</f>
        <v>39</v>
      </c>
      <c r="G58" s="15" t="s">
        <v>7</v>
      </c>
      <c r="H58" s="16">
        <v>0.2</v>
      </c>
      <c r="I58" s="30">
        <f>H58*$I$56</f>
        <v>6</v>
      </c>
      <c r="J58" s="30">
        <f t="shared" ref="J58:J61" si="23">F58*I58</f>
        <v>234</v>
      </c>
      <c r="L58" s="30"/>
      <c r="M58" s="32"/>
      <c r="N58" s="30"/>
      <c r="P58" s="30"/>
      <c r="Q58" s="30"/>
      <c r="R58" s="30"/>
    </row>
    <row r="59" spans="1:18" x14ac:dyDescent="0.3">
      <c r="A59" s="9"/>
      <c r="B59" s="9"/>
      <c r="C59" s="9"/>
      <c r="D59" s="19"/>
      <c r="E59" s="14" t="s">
        <v>57</v>
      </c>
      <c r="F59" s="15">
        <f t="shared" ref="F59:F61" si="24">F58</f>
        <v>39</v>
      </c>
      <c r="G59" s="15" t="s">
        <v>7</v>
      </c>
      <c r="H59" s="16">
        <v>0.2</v>
      </c>
      <c r="I59" s="30">
        <f>H59*$I$56</f>
        <v>6</v>
      </c>
      <c r="J59" s="30">
        <f t="shared" si="23"/>
        <v>234</v>
      </c>
      <c r="L59" s="30"/>
      <c r="M59" s="32"/>
      <c r="N59" s="30"/>
      <c r="P59" s="30"/>
      <c r="Q59" s="30"/>
      <c r="R59" s="30"/>
    </row>
    <row r="60" spans="1:18" x14ac:dyDescent="0.3">
      <c r="A60" s="9"/>
      <c r="B60" s="9"/>
      <c r="C60" s="9"/>
      <c r="D60" s="19"/>
      <c r="E60" s="14" t="s">
        <v>58</v>
      </c>
      <c r="F60" s="15">
        <f t="shared" si="24"/>
        <v>39</v>
      </c>
      <c r="G60" s="15" t="s">
        <v>7</v>
      </c>
      <c r="H60" s="16">
        <v>0.2</v>
      </c>
      <c r="I60" s="30">
        <f>H60*$I$56</f>
        <v>6</v>
      </c>
      <c r="J60" s="30">
        <f t="shared" si="23"/>
        <v>234</v>
      </c>
      <c r="L60" s="30"/>
      <c r="M60" s="32"/>
      <c r="N60" s="30"/>
      <c r="P60" s="30"/>
      <c r="Q60" s="30"/>
      <c r="R60" s="30"/>
    </row>
    <row r="61" spans="1:18" x14ac:dyDescent="0.3">
      <c r="A61" s="9"/>
      <c r="B61" s="9"/>
      <c r="C61" s="9"/>
      <c r="D61" s="19"/>
      <c r="E61" s="14" t="s">
        <v>59</v>
      </c>
      <c r="F61" s="15">
        <f t="shared" si="24"/>
        <v>39</v>
      </c>
      <c r="G61" s="15" t="s">
        <v>7</v>
      </c>
      <c r="H61" s="16">
        <v>0.25</v>
      </c>
      <c r="I61" s="30">
        <f>H61*$I$56</f>
        <v>7.5</v>
      </c>
      <c r="J61" s="30">
        <f t="shared" si="23"/>
        <v>292.5</v>
      </c>
      <c r="L61" s="30"/>
      <c r="M61" s="32"/>
      <c r="N61" s="30"/>
      <c r="P61" s="30"/>
      <c r="Q61" s="30"/>
      <c r="R61" s="30"/>
    </row>
    <row r="62" spans="1:18" ht="63" x14ac:dyDescent="0.3">
      <c r="A62" s="20">
        <f>A56+0.01</f>
        <v>3.0299999999999994</v>
      </c>
      <c r="B62" s="20" t="s">
        <v>34</v>
      </c>
      <c r="C62" s="20"/>
      <c r="D62" s="21" t="s">
        <v>20</v>
      </c>
      <c r="E62" s="22"/>
      <c r="F62" s="23">
        <v>750</v>
      </c>
      <c r="G62" s="23" t="s">
        <v>7</v>
      </c>
      <c r="H62" s="24"/>
      <c r="I62" s="29">
        <v>40</v>
      </c>
      <c r="J62" s="29">
        <f t="shared" si="22"/>
        <v>30000</v>
      </c>
      <c r="L62" s="29"/>
      <c r="M62" s="29"/>
      <c r="N62" s="29"/>
      <c r="P62" s="29"/>
      <c r="Q62" s="29"/>
      <c r="R62" s="29"/>
    </row>
    <row r="63" spans="1:18" x14ac:dyDescent="0.3">
      <c r="A63" s="9"/>
      <c r="B63" s="9"/>
      <c r="C63" s="9"/>
      <c r="D63" s="19"/>
      <c r="E63" s="14" t="s">
        <v>55</v>
      </c>
      <c r="F63" s="15">
        <f>F62</f>
        <v>750</v>
      </c>
      <c r="G63" s="15" t="s">
        <v>7</v>
      </c>
      <c r="H63" s="16">
        <v>0.15</v>
      </c>
      <c r="I63" s="30">
        <f>H63*$I$62</f>
        <v>6</v>
      </c>
      <c r="J63" s="30">
        <f>F63*I63</f>
        <v>4500</v>
      </c>
      <c r="L63" s="30"/>
      <c r="M63" s="32"/>
      <c r="N63" s="30"/>
      <c r="P63" s="30"/>
      <c r="Q63" s="30"/>
      <c r="R63" s="30"/>
    </row>
    <row r="64" spans="1:18" x14ac:dyDescent="0.3">
      <c r="A64" s="9"/>
      <c r="B64" s="9"/>
      <c r="C64" s="9"/>
      <c r="D64" s="19"/>
      <c r="E64" s="14" t="s">
        <v>56</v>
      </c>
      <c r="F64" s="15">
        <f>F63</f>
        <v>750</v>
      </c>
      <c r="G64" s="15" t="s">
        <v>7</v>
      </c>
      <c r="H64" s="16">
        <v>0.2</v>
      </c>
      <c r="I64" s="30">
        <f>H64*$I$62</f>
        <v>8</v>
      </c>
      <c r="J64" s="30">
        <f t="shared" ref="J64:J67" si="25">F64*I64</f>
        <v>6000</v>
      </c>
      <c r="L64" s="30"/>
      <c r="M64" s="32"/>
      <c r="N64" s="30"/>
      <c r="P64" s="30"/>
      <c r="Q64" s="30"/>
      <c r="R64" s="30"/>
    </row>
    <row r="65" spans="1:18" x14ac:dyDescent="0.3">
      <c r="A65" s="9"/>
      <c r="B65" s="9"/>
      <c r="C65" s="9"/>
      <c r="D65" s="19"/>
      <c r="E65" s="14" t="s">
        <v>57</v>
      </c>
      <c r="F65" s="15">
        <f t="shared" ref="F65:F67" si="26">F64</f>
        <v>750</v>
      </c>
      <c r="G65" s="15" t="s">
        <v>7</v>
      </c>
      <c r="H65" s="16">
        <v>0.2</v>
      </c>
      <c r="I65" s="30">
        <f>H65*$I$62</f>
        <v>8</v>
      </c>
      <c r="J65" s="30">
        <f t="shared" si="25"/>
        <v>6000</v>
      </c>
      <c r="L65" s="30"/>
      <c r="M65" s="32"/>
      <c r="N65" s="30"/>
      <c r="P65" s="30"/>
      <c r="Q65" s="30"/>
      <c r="R65" s="30"/>
    </row>
    <row r="66" spans="1:18" x14ac:dyDescent="0.3">
      <c r="A66" s="9"/>
      <c r="B66" s="9"/>
      <c r="C66" s="9"/>
      <c r="D66" s="19"/>
      <c r="E66" s="14" t="s">
        <v>58</v>
      </c>
      <c r="F66" s="15">
        <f t="shared" si="26"/>
        <v>750</v>
      </c>
      <c r="G66" s="15" t="s">
        <v>7</v>
      </c>
      <c r="H66" s="16">
        <v>0.2</v>
      </c>
      <c r="I66" s="30">
        <f>H66*$I$62</f>
        <v>8</v>
      </c>
      <c r="J66" s="30">
        <f t="shared" si="25"/>
        <v>6000</v>
      </c>
      <c r="L66" s="30"/>
      <c r="M66" s="32"/>
      <c r="N66" s="30"/>
      <c r="P66" s="30"/>
      <c r="Q66" s="30"/>
      <c r="R66" s="30"/>
    </row>
    <row r="67" spans="1:18" x14ac:dyDescent="0.3">
      <c r="A67" s="9"/>
      <c r="B67" s="9"/>
      <c r="C67" s="9"/>
      <c r="D67" s="19"/>
      <c r="E67" s="14" t="s">
        <v>59</v>
      </c>
      <c r="F67" s="15">
        <f t="shared" si="26"/>
        <v>750</v>
      </c>
      <c r="G67" s="15" t="s">
        <v>7</v>
      </c>
      <c r="H67" s="16">
        <v>0.25</v>
      </c>
      <c r="I67" s="30">
        <f>H67*$I$62</f>
        <v>10</v>
      </c>
      <c r="J67" s="30">
        <f t="shared" si="25"/>
        <v>7500</v>
      </c>
      <c r="L67" s="30"/>
      <c r="M67" s="32"/>
      <c r="N67" s="30"/>
      <c r="P67" s="30"/>
      <c r="Q67" s="30"/>
      <c r="R67" s="30"/>
    </row>
    <row r="68" spans="1:18" x14ac:dyDescent="0.3">
      <c r="A68" s="3">
        <v>4</v>
      </c>
      <c r="B68" s="3"/>
      <c r="C68" s="5"/>
      <c r="D68" s="42" t="s">
        <v>21</v>
      </c>
      <c r="E68" s="41"/>
      <c r="F68" s="41"/>
      <c r="G68" s="41"/>
      <c r="H68" s="41"/>
      <c r="I68" s="41"/>
      <c r="J68" s="43"/>
    </row>
    <row r="69" spans="1:18" ht="78.75" x14ac:dyDescent="0.3">
      <c r="A69" s="20">
        <f>A68+0.01</f>
        <v>4.01</v>
      </c>
      <c r="B69" s="20" t="s">
        <v>35</v>
      </c>
      <c r="C69" s="20"/>
      <c r="D69" s="21" t="s">
        <v>22</v>
      </c>
      <c r="E69" s="22"/>
      <c r="F69" s="23">
        <v>70</v>
      </c>
      <c r="G69" s="23" t="s">
        <v>7</v>
      </c>
      <c r="H69" s="24"/>
      <c r="I69" s="29">
        <v>140</v>
      </c>
      <c r="J69" s="29">
        <f>I69*F69</f>
        <v>9800</v>
      </c>
      <c r="L69" s="29"/>
      <c r="M69" s="29"/>
      <c r="N69" s="29"/>
      <c r="P69" s="29"/>
      <c r="Q69" s="29"/>
      <c r="R69" s="29"/>
    </row>
    <row r="70" spans="1:18" x14ac:dyDescent="0.3">
      <c r="A70" s="38"/>
      <c r="B70" s="38"/>
      <c r="C70" s="9"/>
      <c r="D70" s="12"/>
      <c r="E70" s="14" t="s">
        <v>41</v>
      </c>
      <c r="F70" s="15">
        <f>F69</f>
        <v>70</v>
      </c>
      <c r="G70" s="15" t="s">
        <v>7</v>
      </c>
      <c r="H70" s="16">
        <v>0.4</v>
      </c>
      <c r="I70" s="30">
        <f>H70*$I$69</f>
        <v>56</v>
      </c>
      <c r="J70" s="30">
        <f>F70*I70</f>
        <v>3920</v>
      </c>
      <c r="L70" s="30"/>
      <c r="M70" s="32"/>
      <c r="N70" s="30"/>
      <c r="P70" s="30"/>
      <c r="Q70" s="30"/>
      <c r="R70" s="30"/>
    </row>
    <row r="71" spans="1:18" x14ac:dyDescent="0.3">
      <c r="A71" s="38"/>
      <c r="B71" s="38"/>
      <c r="C71" s="9"/>
      <c r="D71" s="12"/>
      <c r="E71" s="14" t="s">
        <v>42</v>
      </c>
      <c r="F71" s="15">
        <f>F70</f>
        <v>70</v>
      </c>
      <c r="G71" s="15" t="s">
        <v>7</v>
      </c>
      <c r="H71" s="16">
        <v>0.25</v>
      </c>
      <c r="I71" s="30">
        <f>H71*$I$69</f>
        <v>35</v>
      </c>
      <c r="J71" s="30">
        <f t="shared" ref="J71:J74" si="27">F71*I71</f>
        <v>2450</v>
      </c>
      <c r="L71" s="30"/>
      <c r="M71" s="32"/>
      <c r="N71" s="30"/>
      <c r="P71" s="30"/>
      <c r="Q71" s="30"/>
      <c r="R71" s="30"/>
    </row>
    <row r="72" spans="1:18" x14ac:dyDescent="0.3">
      <c r="A72" s="38"/>
      <c r="B72" s="38"/>
      <c r="C72" s="9"/>
      <c r="D72" s="12"/>
      <c r="E72" s="14" t="s">
        <v>44</v>
      </c>
      <c r="F72" s="15">
        <f>F71</f>
        <v>70</v>
      </c>
      <c r="G72" s="15" t="s">
        <v>7</v>
      </c>
      <c r="H72" s="16">
        <v>0.15</v>
      </c>
      <c r="I72" s="30">
        <f>H72*$I$69</f>
        <v>21</v>
      </c>
      <c r="J72" s="30">
        <f t="shared" si="27"/>
        <v>1470</v>
      </c>
      <c r="L72" s="30"/>
      <c r="M72" s="32"/>
      <c r="N72" s="30"/>
      <c r="P72" s="30"/>
      <c r="Q72" s="30"/>
      <c r="R72" s="30"/>
    </row>
    <row r="73" spans="1:18" x14ac:dyDescent="0.3">
      <c r="A73" s="38"/>
      <c r="B73" s="38"/>
      <c r="C73" s="9"/>
      <c r="D73" s="12"/>
      <c r="E73" s="14" t="s">
        <v>45</v>
      </c>
      <c r="F73" s="15">
        <f>F72</f>
        <v>70</v>
      </c>
      <c r="G73" s="15" t="s">
        <v>7</v>
      </c>
      <c r="H73" s="16">
        <v>0.15</v>
      </c>
      <c r="I73" s="30">
        <f>H73*$I$69</f>
        <v>21</v>
      </c>
      <c r="J73" s="30">
        <f t="shared" si="27"/>
        <v>1470</v>
      </c>
      <c r="L73" s="30"/>
      <c r="M73" s="32"/>
      <c r="N73" s="30"/>
      <c r="P73" s="30"/>
      <c r="Q73" s="30"/>
      <c r="R73" s="30"/>
    </row>
    <row r="74" spans="1:18" x14ac:dyDescent="0.3">
      <c r="A74" s="39"/>
      <c r="B74" s="39"/>
      <c r="C74" s="6"/>
      <c r="D74" s="13"/>
      <c r="E74" s="14" t="s">
        <v>40</v>
      </c>
      <c r="F74" s="15">
        <f>F73</f>
        <v>70</v>
      </c>
      <c r="G74" s="15" t="s">
        <v>7</v>
      </c>
      <c r="H74" s="16">
        <v>0.05</v>
      </c>
      <c r="I74" s="30">
        <f>H74*$I$69</f>
        <v>7</v>
      </c>
      <c r="J74" s="30">
        <f t="shared" si="27"/>
        <v>490</v>
      </c>
      <c r="L74" s="30"/>
      <c r="M74" s="32"/>
      <c r="N74" s="30"/>
      <c r="P74" s="30"/>
      <c r="Q74" s="30"/>
      <c r="R74" s="30"/>
    </row>
    <row r="75" spans="1:18" ht="31.5" x14ac:dyDescent="0.3">
      <c r="A75" s="20">
        <f>A69+0.01</f>
        <v>4.0199999999999996</v>
      </c>
      <c r="B75" s="20" t="s">
        <v>35</v>
      </c>
      <c r="C75" s="20"/>
      <c r="D75" s="21" t="s">
        <v>23</v>
      </c>
      <c r="E75" s="22"/>
      <c r="F75" s="23">
        <v>249</v>
      </c>
      <c r="G75" s="23" t="s">
        <v>7</v>
      </c>
      <c r="H75" s="24"/>
      <c r="I75" s="29">
        <v>110</v>
      </c>
      <c r="J75" s="29">
        <f t="shared" ref="J75:J86" si="28">I75*F75</f>
        <v>27390</v>
      </c>
      <c r="L75" s="29"/>
      <c r="M75" s="29"/>
      <c r="N75" s="29"/>
      <c r="P75" s="29"/>
      <c r="Q75" s="29"/>
      <c r="R75" s="29"/>
    </row>
    <row r="76" spans="1:18" x14ac:dyDescent="0.3">
      <c r="A76" s="38"/>
      <c r="B76" s="38"/>
      <c r="C76" s="9"/>
      <c r="D76" s="12"/>
      <c r="E76" s="14" t="s">
        <v>41</v>
      </c>
      <c r="F76" s="15">
        <f>F75</f>
        <v>249</v>
      </c>
      <c r="G76" s="15" t="s">
        <v>7</v>
      </c>
      <c r="H76" s="16">
        <v>0.4</v>
      </c>
      <c r="I76" s="30">
        <f>H76*$I$75</f>
        <v>44</v>
      </c>
      <c r="J76" s="30">
        <f>F76*I76</f>
        <v>10956</v>
      </c>
      <c r="L76" s="30"/>
      <c r="M76" s="32"/>
      <c r="N76" s="30"/>
      <c r="P76" s="30"/>
      <c r="Q76" s="30"/>
      <c r="R76" s="30"/>
    </row>
    <row r="77" spans="1:18" x14ac:dyDescent="0.3">
      <c r="A77" s="39"/>
      <c r="B77" s="39"/>
      <c r="C77" s="6"/>
      <c r="D77" s="13"/>
      <c r="E77" s="14" t="s">
        <v>51</v>
      </c>
      <c r="F77" s="15">
        <f>F76</f>
        <v>249</v>
      </c>
      <c r="G77" s="15" t="s">
        <v>7</v>
      </c>
      <c r="H77" s="16">
        <v>0.25</v>
      </c>
      <c r="I77" s="30">
        <f>H77*$I$75</f>
        <v>27.5</v>
      </c>
      <c r="J77" s="30">
        <f t="shared" ref="J77" si="29">F77*I77</f>
        <v>6847.5</v>
      </c>
      <c r="L77" s="30"/>
      <c r="M77" s="32"/>
      <c r="N77" s="30"/>
      <c r="P77" s="30"/>
      <c r="Q77" s="30"/>
      <c r="R77" s="30"/>
    </row>
    <row r="78" spans="1:18" ht="78.75" x14ac:dyDescent="0.3">
      <c r="A78" s="20">
        <f>A75+0.01</f>
        <v>4.0299999999999994</v>
      </c>
      <c r="B78" s="20" t="s">
        <v>35</v>
      </c>
      <c r="C78" s="20"/>
      <c r="D78" s="21" t="s">
        <v>24</v>
      </c>
      <c r="E78" s="22"/>
      <c r="F78" s="23">
        <v>1</v>
      </c>
      <c r="G78" s="23" t="s">
        <v>25</v>
      </c>
      <c r="H78" s="24"/>
      <c r="I78" s="29">
        <v>5000</v>
      </c>
      <c r="J78" s="29">
        <f t="shared" si="28"/>
        <v>5000</v>
      </c>
      <c r="L78" s="29"/>
      <c r="M78" s="29"/>
      <c r="N78" s="29"/>
      <c r="P78" s="29"/>
      <c r="Q78" s="29"/>
      <c r="R78" s="29"/>
    </row>
    <row r="79" spans="1:18" x14ac:dyDescent="0.3">
      <c r="A79" s="38"/>
      <c r="B79" s="38"/>
      <c r="C79" s="9"/>
      <c r="D79" s="12"/>
      <c r="E79" s="14" t="s">
        <v>41</v>
      </c>
      <c r="F79" s="15">
        <f>F78</f>
        <v>1</v>
      </c>
      <c r="G79" s="15" t="s">
        <v>16</v>
      </c>
      <c r="H79" s="16">
        <v>0.1</v>
      </c>
      <c r="I79" s="30">
        <f t="shared" ref="I79:I85" si="30">H79*$I$78</f>
        <v>500</v>
      </c>
      <c r="J79" s="30">
        <f>F79*I79</f>
        <v>500</v>
      </c>
      <c r="L79" s="30"/>
      <c r="M79" s="32"/>
      <c r="N79" s="30"/>
      <c r="P79" s="30"/>
      <c r="Q79" s="30"/>
      <c r="R79" s="30"/>
    </row>
    <row r="80" spans="1:18" x14ac:dyDescent="0.3">
      <c r="A80" s="38"/>
      <c r="B80" s="38"/>
      <c r="C80" s="9"/>
      <c r="D80" s="12"/>
      <c r="E80" s="14" t="s">
        <v>42</v>
      </c>
      <c r="F80" s="15">
        <f>F79</f>
        <v>1</v>
      </c>
      <c r="G80" s="15" t="s">
        <v>16</v>
      </c>
      <c r="H80" s="16">
        <v>0.1</v>
      </c>
      <c r="I80" s="30">
        <f t="shared" si="30"/>
        <v>500</v>
      </c>
      <c r="J80" s="30">
        <f t="shared" ref="J80:J85" si="31">F80*I80</f>
        <v>500</v>
      </c>
      <c r="L80" s="30"/>
      <c r="M80" s="32"/>
      <c r="N80" s="30"/>
      <c r="P80" s="30"/>
      <c r="Q80" s="30"/>
      <c r="R80" s="30"/>
    </row>
    <row r="81" spans="1:18" x14ac:dyDescent="0.3">
      <c r="A81" s="38"/>
      <c r="B81" s="38"/>
      <c r="C81" s="9"/>
      <c r="D81" s="12"/>
      <c r="E81" s="14" t="s">
        <v>44</v>
      </c>
      <c r="F81" s="15">
        <f>F80</f>
        <v>1</v>
      </c>
      <c r="G81" s="15" t="s">
        <v>16</v>
      </c>
      <c r="H81" s="16">
        <v>0.1</v>
      </c>
      <c r="I81" s="30">
        <f t="shared" si="30"/>
        <v>500</v>
      </c>
      <c r="J81" s="30">
        <f t="shared" si="31"/>
        <v>500</v>
      </c>
      <c r="L81" s="30"/>
      <c r="M81" s="32"/>
      <c r="N81" s="30"/>
      <c r="P81" s="30"/>
      <c r="Q81" s="30"/>
      <c r="R81" s="30"/>
    </row>
    <row r="82" spans="1:18" x14ac:dyDescent="0.3">
      <c r="A82" s="38"/>
      <c r="B82" s="38"/>
      <c r="C82" s="9"/>
      <c r="D82" s="12"/>
      <c r="E82" s="14" t="s">
        <v>45</v>
      </c>
      <c r="F82" s="15">
        <f>F81</f>
        <v>1</v>
      </c>
      <c r="G82" s="15" t="s">
        <v>16</v>
      </c>
      <c r="H82" s="16">
        <v>0.05</v>
      </c>
      <c r="I82" s="30">
        <f t="shared" si="30"/>
        <v>250</v>
      </c>
      <c r="J82" s="30">
        <f t="shared" si="31"/>
        <v>250</v>
      </c>
      <c r="L82" s="30"/>
      <c r="M82" s="32"/>
      <c r="N82" s="30"/>
      <c r="P82" s="30"/>
      <c r="Q82" s="30"/>
      <c r="R82" s="30"/>
    </row>
    <row r="83" spans="1:18" x14ac:dyDescent="0.3">
      <c r="A83" s="38"/>
      <c r="B83" s="38"/>
      <c r="C83" s="9"/>
      <c r="D83" s="12"/>
      <c r="E83" s="14" t="s">
        <v>40</v>
      </c>
      <c r="F83" s="15">
        <f>F81</f>
        <v>1</v>
      </c>
      <c r="G83" s="15" t="s">
        <v>16</v>
      </c>
      <c r="H83" s="16">
        <v>0.05</v>
      </c>
      <c r="I83" s="30">
        <f t="shared" si="30"/>
        <v>250</v>
      </c>
      <c r="J83" s="30">
        <f t="shared" si="31"/>
        <v>250</v>
      </c>
      <c r="L83" s="30"/>
      <c r="M83" s="32"/>
      <c r="N83" s="30"/>
      <c r="P83" s="30"/>
      <c r="Q83" s="30"/>
      <c r="R83" s="30"/>
    </row>
    <row r="84" spans="1:18" x14ac:dyDescent="0.3">
      <c r="A84" s="38"/>
      <c r="B84" s="38"/>
      <c r="C84" s="9"/>
      <c r="D84" s="12"/>
      <c r="E84" s="14" t="s">
        <v>34</v>
      </c>
      <c r="F84" s="15">
        <v>1</v>
      </c>
      <c r="G84" s="15" t="s">
        <v>16</v>
      </c>
      <c r="H84" s="16">
        <v>0.25</v>
      </c>
      <c r="I84" s="30">
        <f t="shared" si="30"/>
        <v>1250</v>
      </c>
      <c r="J84" s="30">
        <f t="shared" si="31"/>
        <v>1250</v>
      </c>
      <c r="L84" s="30"/>
      <c r="M84" s="32"/>
      <c r="N84" s="30"/>
      <c r="P84" s="30"/>
      <c r="Q84" s="30"/>
      <c r="R84" s="30"/>
    </row>
    <row r="85" spans="1:18" x14ac:dyDescent="0.3">
      <c r="A85" s="39"/>
      <c r="B85" s="39"/>
      <c r="C85" s="6"/>
      <c r="D85" s="13"/>
      <c r="E85" s="14" t="s">
        <v>60</v>
      </c>
      <c r="F85" s="15">
        <f>F82</f>
        <v>1</v>
      </c>
      <c r="G85" s="15" t="s">
        <v>16</v>
      </c>
      <c r="H85" s="16">
        <v>0.35</v>
      </c>
      <c r="I85" s="30">
        <f t="shared" si="30"/>
        <v>1750</v>
      </c>
      <c r="J85" s="30">
        <f t="shared" si="31"/>
        <v>1750</v>
      </c>
      <c r="L85" s="30"/>
      <c r="M85" s="32"/>
      <c r="N85" s="30"/>
      <c r="P85" s="30"/>
      <c r="Q85" s="30"/>
      <c r="R85" s="30"/>
    </row>
    <row r="86" spans="1:18" ht="78.75" x14ac:dyDescent="0.3">
      <c r="A86" s="20">
        <f t="shared" ref="A86" si="32">A78+0.01</f>
        <v>4.0399999999999991</v>
      </c>
      <c r="B86" s="20" t="s">
        <v>36</v>
      </c>
      <c r="C86" s="20"/>
      <c r="D86" s="21" t="s">
        <v>26</v>
      </c>
      <c r="E86" s="22"/>
      <c r="F86" s="23">
        <v>1</v>
      </c>
      <c r="G86" s="23" t="s">
        <v>25</v>
      </c>
      <c r="H86" s="24"/>
      <c r="I86" s="29">
        <v>13387</v>
      </c>
      <c r="J86" s="29">
        <f t="shared" si="28"/>
        <v>13387</v>
      </c>
      <c r="L86" s="29"/>
      <c r="M86" s="29"/>
      <c r="N86" s="29"/>
      <c r="P86" s="29"/>
      <c r="Q86" s="29"/>
      <c r="R86" s="29"/>
    </row>
    <row r="87" spans="1:18" x14ac:dyDescent="0.3">
      <c r="A87" s="38"/>
      <c r="B87" s="38"/>
      <c r="C87" s="9"/>
      <c r="D87" s="12"/>
      <c r="E87" s="14" t="s">
        <v>41</v>
      </c>
      <c r="F87" s="15">
        <f>F86</f>
        <v>1</v>
      </c>
      <c r="G87" s="15" t="s">
        <v>16</v>
      </c>
      <c r="H87" s="16">
        <v>0.2</v>
      </c>
      <c r="I87" s="30">
        <f>H87*$I$86</f>
        <v>2677.4</v>
      </c>
      <c r="J87" s="30">
        <f>F87*I87</f>
        <v>2677.4</v>
      </c>
      <c r="L87" s="30"/>
      <c r="M87" s="32"/>
      <c r="N87" s="30"/>
      <c r="P87" s="30"/>
      <c r="Q87" s="30"/>
      <c r="R87" s="30"/>
    </row>
    <row r="88" spans="1:18" x14ac:dyDescent="0.3">
      <c r="A88" s="38"/>
      <c r="B88" s="38"/>
      <c r="C88" s="9"/>
      <c r="D88" s="12"/>
      <c r="E88" s="14" t="s">
        <v>61</v>
      </c>
      <c r="F88" s="15">
        <f>F87</f>
        <v>1</v>
      </c>
      <c r="G88" s="15" t="s">
        <v>16</v>
      </c>
      <c r="H88" s="16">
        <v>0.2</v>
      </c>
      <c r="I88" s="30">
        <f>H88*$I$86</f>
        <v>2677.4</v>
      </c>
      <c r="J88" s="30">
        <f t="shared" ref="J88:J91" si="33">F88*I88</f>
        <v>2677.4</v>
      </c>
      <c r="L88" s="30"/>
      <c r="M88" s="32"/>
      <c r="N88" s="30"/>
      <c r="P88" s="30"/>
      <c r="Q88" s="30"/>
      <c r="R88" s="30"/>
    </row>
    <row r="89" spans="1:18" x14ac:dyDescent="0.3">
      <c r="A89" s="38"/>
      <c r="B89" s="38"/>
      <c r="C89" s="9"/>
      <c r="D89" s="12"/>
      <c r="E89" s="14" t="s">
        <v>63</v>
      </c>
      <c r="F89" s="15">
        <f>F88</f>
        <v>1</v>
      </c>
      <c r="G89" s="15" t="s">
        <v>16</v>
      </c>
      <c r="H89" s="16">
        <v>0.15</v>
      </c>
      <c r="I89" s="30">
        <f>H89*$I$86</f>
        <v>2008.05</v>
      </c>
      <c r="J89" s="30">
        <f t="shared" si="33"/>
        <v>2008.05</v>
      </c>
      <c r="L89" s="30"/>
      <c r="M89" s="32"/>
      <c r="N89" s="30"/>
      <c r="P89" s="30"/>
      <c r="Q89" s="30"/>
      <c r="R89" s="30"/>
    </row>
    <row r="90" spans="1:18" x14ac:dyDescent="0.3">
      <c r="A90" s="38"/>
      <c r="B90" s="38"/>
      <c r="C90" s="9"/>
      <c r="D90" s="12"/>
      <c r="E90" s="14" t="s">
        <v>62</v>
      </c>
      <c r="F90" s="15">
        <f>F89</f>
        <v>1</v>
      </c>
      <c r="G90" s="15" t="s">
        <v>16</v>
      </c>
      <c r="H90" s="16">
        <v>0.2</v>
      </c>
      <c r="I90" s="30">
        <f>H90*$I$86</f>
        <v>2677.4</v>
      </c>
      <c r="J90" s="30">
        <f t="shared" si="33"/>
        <v>2677.4</v>
      </c>
      <c r="L90" s="30"/>
      <c r="M90" s="32"/>
      <c r="N90" s="30"/>
      <c r="P90" s="30"/>
      <c r="Q90" s="30"/>
      <c r="R90" s="30"/>
    </row>
    <row r="91" spans="1:18" x14ac:dyDescent="0.3">
      <c r="A91" s="38"/>
      <c r="B91" s="38"/>
      <c r="C91" s="9"/>
      <c r="D91" s="12"/>
      <c r="E91" s="14" t="s">
        <v>64</v>
      </c>
      <c r="F91" s="15">
        <f>F89</f>
        <v>1</v>
      </c>
      <c r="G91" s="15" t="s">
        <v>16</v>
      </c>
      <c r="H91" s="16">
        <v>0.25</v>
      </c>
      <c r="I91" s="30">
        <f>H91*$I$86</f>
        <v>3346.75</v>
      </c>
      <c r="J91" s="30">
        <f t="shared" si="33"/>
        <v>3346.75</v>
      </c>
      <c r="L91" s="30"/>
      <c r="M91" s="32"/>
      <c r="N91" s="30"/>
      <c r="P91" s="30"/>
      <c r="Q91" s="30"/>
      <c r="R91" s="30"/>
    </row>
    <row r="92" spans="1:18" x14ac:dyDescent="0.3">
      <c r="A92" s="3">
        <v>5</v>
      </c>
      <c r="B92" s="3"/>
      <c r="C92" s="5"/>
      <c r="D92" s="42" t="s">
        <v>27</v>
      </c>
      <c r="E92" s="41"/>
      <c r="F92" s="41"/>
      <c r="G92" s="41"/>
      <c r="H92" s="41"/>
      <c r="I92" s="41"/>
      <c r="J92" s="43"/>
    </row>
    <row r="93" spans="1:18" ht="31.5" x14ac:dyDescent="0.3">
      <c r="A93" s="20">
        <f>A92+0.01</f>
        <v>5.01</v>
      </c>
      <c r="B93" s="20" t="s">
        <v>37</v>
      </c>
      <c r="C93" s="20"/>
      <c r="D93" s="21" t="s">
        <v>28</v>
      </c>
      <c r="E93" s="22"/>
      <c r="F93" s="23">
        <v>24</v>
      </c>
      <c r="G93" s="23" t="s">
        <v>7</v>
      </c>
      <c r="H93" s="24"/>
      <c r="I93" s="29">
        <v>450</v>
      </c>
      <c r="J93" s="29">
        <f>I93*F93</f>
        <v>10800</v>
      </c>
      <c r="L93" s="29"/>
      <c r="M93" s="29"/>
      <c r="N93" s="29"/>
      <c r="P93" s="29"/>
      <c r="Q93" s="29"/>
      <c r="R93" s="29"/>
    </row>
    <row r="94" spans="1:18" x14ac:dyDescent="0.3">
      <c r="A94" s="38"/>
      <c r="B94" s="38"/>
      <c r="C94" s="9"/>
      <c r="D94" s="12"/>
      <c r="E94" s="14" t="s">
        <v>65</v>
      </c>
      <c r="F94" s="15">
        <f>F93</f>
        <v>24</v>
      </c>
      <c r="G94" s="15" t="s">
        <v>16</v>
      </c>
      <c r="H94" s="16">
        <v>0.2</v>
      </c>
      <c r="I94" s="30">
        <f>H94*$I$93</f>
        <v>90</v>
      </c>
      <c r="J94" s="30">
        <f>F94*I94</f>
        <v>2160</v>
      </c>
      <c r="L94" s="30"/>
      <c r="M94" s="32"/>
      <c r="N94" s="30"/>
      <c r="P94" s="30"/>
      <c r="Q94" s="30"/>
      <c r="R94" s="30"/>
    </row>
    <row r="95" spans="1:18" x14ac:dyDescent="0.3">
      <c r="A95" s="38"/>
      <c r="B95" s="38"/>
      <c r="C95" s="9"/>
      <c r="D95" s="12"/>
      <c r="E95" s="14" t="s">
        <v>66</v>
      </c>
      <c r="F95" s="15">
        <f>F94</f>
        <v>24</v>
      </c>
      <c r="G95" s="15" t="s">
        <v>16</v>
      </c>
      <c r="H95" s="16">
        <v>0.6</v>
      </c>
      <c r="I95" s="30">
        <f>H95*$I$93</f>
        <v>270</v>
      </c>
      <c r="J95" s="30">
        <f t="shared" ref="J95:J97" si="34">F95*I95</f>
        <v>6480</v>
      </c>
      <c r="L95" s="30"/>
      <c r="M95" s="32"/>
      <c r="N95" s="30"/>
      <c r="P95" s="30"/>
      <c r="Q95" s="30"/>
      <c r="R95" s="30"/>
    </row>
    <row r="96" spans="1:18" x14ac:dyDescent="0.3">
      <c r="A96" s="38"/>
      <c r="B96" s="38"/>
      <c r="C96" s="9"/>
      <c r="D96" s="12"/>
      <c r="E96" s="14" t="s">
        <v>67</v>
      </c>
      <c r="F96" s="15">
        <f>F95</f>
        <v>24</v>
      </c>
      <c r="G96" s="15" t="s">
        <v>16</v>
      </c>
      <c r="H96" s="16">
        <v>0.15</v>
      </c>
      <c r="I96" s="30">
        <f>H96*$I$93</f>
        <v>67.5</v>
      </c>
      <c r="J96" s="30">
        <f t="shared" si="34"/>
        <v>1620</v>
      </c>
      <c r="L96" s="30"/>
      <c r="M96" s="32"/>
      <c r="N96" s="30"/>
      <c r="P96" s="30"/>
      <c r="Q96" s="30"/>
      <c r="R96" s="30"/>
    </row>
    <row r="97" spans="1:18" x14ac:dyDescent="0.3">
      <c r="A97" s="39"/>
      <c r="B97" s="39"/>
      <c r="C97" s="6"/>
      <c r="D97" s="13"/>
      <c r="E97" s="14" t="s">
        <v>68</v>
      </c>
      <c r="F97" s="15">
        <f>F96</f>
        <v>24</v>
      </c>
      <c r="G97" s="15" t="s">
        <v>16</v>
      </c>
      <c r="H97" s="16">
        <v>0.05</v>
      </c>
      <c r="I97" s="30">
        <f>H97*$I$93</f>
        <v>22.5</v>
      </c>
      <c r="J97" s="30">
        <f t="shared" si="34"/>
        <v>540</v>
      </c>
      <c r="L97" s="30"/>
      <c r="M97" s="32"/>
      <c r="N97" s="30"/>
      <c r="P97" s="30"/>
      <c r="Q97" s="30"/>
      <c r="R97" s="30"/>
    </row>
    <row r="98" spans="1:18" x14ac:dyDescent="0.3">
      <c r="A98" s="3">
        <v>6</v>
      </c>
      <c r="B98" s="3"/>
      <c r="C98" s="5"/>
      <c r="D98" s="42" t="s">
        <v>69</v>
      </c>
      <c r="E98" s="41"/>
      <c r="F98" s="41"/>
      <c r="G98" s="41"/>
      <c r="H98" s="41"/>
      <c r="I98" s="41"/>
      <c r="J98" s="43"/>
    </row>
    <row r="99" spans="1:18" ht="56.25" x14ac:dyDescent="0.3">
      <c r="A99" s="20"/>
      <c r="B99" s="20" t="s">
        <v>36</v>
      </c>
      <c r="C99" s="20"/>
      <c r="D99" s="21" t="s">
        <v>70</v>
      </c>
      <c r="E99" s="22"/>
      <c r="F99" s="23">
        <v>1</v>
      </c>
      <c r="G99" s="23" t="s">
        <v>16</v>
      </c>
      <c r="H99" s="24"/>
      <c r="I99" s="29">
        <v>20350</v>
      </c>
      <c r="J99" s="29">
        <f>F99*I99</f>
        <v>20350</v>
      </c>
      <c r="L99" s="29"/>
      <c r="M99" s="29"/>
      <c r="N99" s="29"/>
      <c r="P99" s="29"/>
      <c r="Q99" s="29"/>
      <c r="R99" s="29"/>
    </row>
    <row r="100" spans="1:18" x14ac:dyDescent="0.3">
      <c r="A100" s="38"/>
      <c r="B100" s="38"/>
      <c r="C100" s="9"/>
      <c r="D100" s="12"/>
      <c r="E100" s="14" t="s">
        <v>41</v>
      </c>
      <c r="F100" s="15">
        <f>F99</f>
        <v>1</v>
      </c>
      <c r="G100" s="15" t="s">
        <v>16</v>
      </c>
      <c r="H100" s="16">
        <v>0.2</v>
      </c>
      <c r="I100" s="30">
        <f>H100*$I$99</f>
        <v>4070</v>
      </c>
      <c r="J100" s="30">
        <f>F100*I100</f>
        <v>4070</v>
      </c>
      <c r="L100" s="30"/>
      <c r="M100" s="32"/>
      <c r="N100" s="30"/>
      <c r="P100" s="30"/>
      <c r="Q100" s="30"/>
      <c r="R100" s="30"/>
    </row>
    <row r="101" spans="1:18" x14ac:dyDescent="0.3">
      <c r="A101" s="38"/>
      <c r="B101" s="38"/>
      <c r="C101" s="9"/>
      <c r="D101" s="12"/>
      <c r="E101" s="14" t="s">
        <v>61</v>
      </c>
      <c r="F101" s="15">
        <f>F100</f>
        <v>1</v>
      </c>
      <c r="G101" s="15" t="s">
        <v>16</v>
      </c>
      <c r="H101" s="16">
        <v>0.2</v>
      </c>
      <c r="I101" s="30">
        <f>H101*$I$99</f>
        <v>4070</v>
      </c>
      <c r="J101" s="30">
        <f t="shared" ref="J101:J104" si="35">F101*I101</f>
        <v>4070</v>
      </c>
      <c r="L101" s="30"/>
      <c r="M101" s="32"/>
      <c r="N101" s="30"/>
      <c r="P101" s="30"/>
      <c r="Q101" s="30"/>
      <c r="R101" s="30"/>
    </row>
    <row r="102" spans="1:18" x14ac:dyDescent="0.3">
      <c r="A102" s="38"/>
      <c r="B102" s="38"/>
      <c r="C102" s="9"/>
      <c r="D102" s="12"/>
      <c r="E102" s="14" t="s">
        <v>63</v>
      </c>
      <c r="F102" s="15">
        <f>F101</f>
        <v>1</v>
      </c>
      <c r="G102" s="15" t="s">
        <v>16</v>
      </c>
      <c r="H102" s="16">
        <v>0.1</v>
      </c>
      <c r="I102" s="30">
        <f t="shared" ref="I102:I104" si="36">H102*$I$99</f>
        <v>2035</v>
      </c>
      <c r="J102" s="30">
        <f t="shared" si="35"/>
        <v>2035</v>
      </c>
      <c r="L102" s="30"/>
      <c r="M102" s="32"/>
      <c r="N102" s="30"/>
      <c r="P102" s="30"/>
      <c r="Q102" s="30"/>
      <c r="R102" s="30"/>
    </row>
    <row r="103" spans="1:18" x14ac:dyDescent="0.3">
      <c r="A103" s="38"/>
      <c r="B103" s="38"/>
      <c r="C103" s="9"/>
      <c r="D103" s="12"/>
      <c r="E103" s="14" t="s">
        <v>62</v>
      </c>
      <c r="F103" s="15">
        <f>F102</f>
        <v>1</v>
      </c>
      <c r="G103" s="15" t="s">
        <v>16</v>
      </c>
      <c r="H103" s="16">
        <v>0.2</v>
      </c>
      <c r="I103" s="30">
        <f t="shared" si="36"/>
        <v>4070</v>
      </c>
      <c r="J103" s="30">
        <f t="shared" si="35"/>
        <v>4070</v>
      </c>
      <c r="L103" s="30"/>
      <c r="M103" s="32"/>
      <c r="N103" s="30"/>
      <c r="P103" s="30"/>
      <c r="Q103" s="30"/>
      <c r="R103" s="30"/>
    </row>
    <row r="104" spans="1:18" x14ac:dyDescent="0.3">
      <c r="A104" s="39"/>
      <c r="B104" s="39"/>
      <c r="C104" s="6"/>
      <c r="D104" s="13"/>
      <c r="E104" s="14" t="s">
        <v>64</v>
      </c>
      <c r="F104" s="15">
        <f>F102</f>
        <v>1</v>
      </c>
      <c r="G104" s="15" t="s">
        <v>16</v>
      </c>
      <c r="H104" s="16">
        <v>0.3</v>
      </c>
      <c r="I104" s="30">
        <f t="shared" si="36"/>
        <v>6105</v>
      </c>
      <c r="J104" s="30">
        <f t="shared" si="35"/>
        <v>6105</v>
      </c>
      <c r="L104" s="30"/>
      <c r="M104" s="32"/>
      <c r="N104" s="30"/>
      <c r="P104" s="30"/>
      <c r="Q104" s="30"/>
      <c r="R104" s="30"/>
    </row>
    <row r="105" spans="1:18" ht="56.25" x14ac:dyDescent="0.3">
      <c r="A105" s="20">
        <v>7</v>
      </c>
      <c r="B105" s="20" t="s">
        <v>36</v>
      </c>
      <c r="C105" s="20"/>
      <c r="D105" s="21" t="s">
        <v>73</v>
      </c>
      <c r="E105" s="22"/>
      <c r="F105" s="23">
        <v>1</v>
      </c>
      <c r="G105" s="23" t="s">
        <v>16</v>
      </c>
      <c r="H105" s="24"/>
      <c r="I105" s="29">
        <v>4530</v>
      </c>
      <c r="J105" s="29">
        <f>F105*I105</f>
        <v>4530</v>
      </c>
      <c r="L105" s="29"/>
      <c r="M105" s="29"/>
      <c r="N105" s="29"/>
      <c r="P105" s="29"/>
      <c r="Q105" s="29"/>
      <c r="R105" s="29"/>
    </row>
    <row r="106" spans="1:18" x14ac:dyDescent="0.3">
      <c r="A106" s="38"/>
      <c r="B106" s="38"/>
      <c r="C106" s="9"/>
      <c r="D106" s="12"/>
      <c r="E106" s="14" t="s">
        <v>41</v>
      </c>
      <c r="F106" s="15">
        <f>F105</f>
        <v>1</v>
      </c>
      <c r="G106" s="15" t="s">
        <v>16</v>
      </c>
      <c r="H106" s="16">
        <v>0.3</v>
      </c>
      <c r="I106" s="30">
        <f>H106*$I$105</f>
        <v>1359</v>
      </c>
      <c r="J106" s="30">
        <f>F106*I106</f>
        <v>1359</v>
      </c>
      <c r="L106" s="30"/>
      <c r="M106" s="32"/>
      <c r="N106" s="30"/>
      <c r="P106" s="30"/>
      <c r="Q106" s="30"/>
      <c r="R106" s="30"/>
    </row>
    <row r="107" spans="1:18" x14ac:dyDescent="0.3">
      <c r="A107" s="38"/>
      <c r="B107" s="38"/>
      <c r="C107" s="9"/>
      <c r="D107" s="12"/>
      <c r="E107" s="14" t="s">
        <v>72</v>
      </c>
      <c r="F107" s="15">
        <f>F106</f>
        <v>1</v>
      </c>
      <c r="G107" s="15" t="s">
        <v>16</v>
      </c>
      <c r="H107" s="16">
        <v>0.3</v>
      </c>
      <c r="I107" s="30">
        <f>H107*$I$105</f>
        <v>1359</v>
      </c>
      <c r="J107" s="30">
        <f t="shared" ref="J107:J108" si="37">F107*I107</f>
        <v>1359</v>
      </c>
      <c r="L107" s="30"/>
      <c r="M107" s="32"/>
      <c r="N107" s="30"/>
      <c r="P107" s="30"/>
      <c r="Q107" s="30"/>
      <c r="R107" s="30"/>
    </row>
    <row r="108" spans="1:18" x14ac:dyDescent="0.3">
      <c r="A108" s="39"/>
      <c r="B108" s="39"/>
      <c r="C108" s="6"/>
      <c r="D108" s="13"/>
      <c r="E108" s="14" t="s">
        <v>64</v>
      </c>
      <c r="F108" s="15">
        <f>F107</f>
        <v>1</v>
      </c>
      <c r="G108" s="15" t="s">
        <v>16</v>
      </c>
      <c r="H108" s="16">
        <v>0.4</v>
      </c>
      <c r="I108" s="30">
        <f t="shared" ref="I108" si="38">H108*$I$105</f>
        <v>1812</v>
      </c>
      <c r="J108" s="30">
        <f t="shared" si="37"/>
        <v>1812</v>
      </c>
      <c r="L108" s="30"/>
      <c r="M108" s="32"/>
      <c r="N108" s="30"/>
      <c r="P108" s="30"/>
      <c r="Q108" s="30"/>
      <c r="R108" s="30"/>
    </row>
    <row r="109" spans="1:18" ht="93.75" x14ac:dyDescent="0.3">
      <c r="A109" s="20">
        <v>8</v>
      </c>
      <c r="B109" s="20" t="s">
        <v>36</v>
      </c>
      <c r="C109" s="20"/>
      <c r="D109" s="21" t="s">
        <v>71</v>
      </c>
      <c r="E109" s="22"/>
      <c r="F109" s="23">
        <v>1</v>
      </c>
      <c r="G109" s="23" t="s">
        <v>16</v>
      </c>
      <c r="H109" s="24"/>
      <c r="I109" s="29">
        <v>5850</v>
      </c>
      <c r="J109" s="29">
        <f>F109*I109</f>
        <v>5850</v>
      </c>
      <c r="L109" s="29"/>
      <c r="M109" s="29"/>
      <c r="N109" s="29"/>
      <c r="P109" s="29"/>
      <c r="Q109" s="29"/>
      <c r="R109" s="29"/>
    </row>
    <row r="110" spans="1:18" x14ac:dyDescent="0.3">
      <c r="A110" s="38"/>
      <c r="B110" s="38"/>
      <c r="C110" s="9"/>
      <c r="D110" s="12"/>
      <c r="E110" s="14" t="s">
        <v>41</v>
      </c>
      <c r="F110" s="15">
        <f>F109</f>
        <v>1</v>
      </c>
      <c r="G110" s="15" t="s">
        <v>16</v>
      </c>
      <c r="H110" s="16">
        <v>0.3</v>
      </c>
      <c r="I110" s="30">
        <f>H110*$I$109</f>
        <v>1755</v>
      </c>
      <c r="J110" s="30">
        <f>F110*I110</f>
        <v>1755</v>
      </c>
      <c r="L110" s="30"/>
      <c r="M110" s="32"/>
      <c r="N110" s="30"/>
      <c r="P110" s="30"/>
      <c r="Q110" s="30"/>
      <c r="R110" s="30"/>
    </row>
    <row r="111" spans="1:18" x14ac:dyDescent="0.3">
      <c r="A111" s="38"/>
      <c r="B111" s="38"/>
      <c r="C111" s="9"/>
      <c r="D111" s="12"/>
      <c r="E111" s="14" t="s">
        <v>72</v>
      </c>
      <c r="F111" s="15">
        <f>F110</f>
        <v>1</v>
      </c>
      <c r="G111" s="15" t="s">
        <v>16</v>
      </c>
      <c r="H111" s="16">
        <v>0.3</v>
      </c>
      <c r="I111" s="30">
        <f>H111*$I$109</f>
        <v>1755</v>
      </c>
      <c r="J111" s="30">
        <f t="shared" ref="J111:J112" si="39">F111*I111</f>
        <v>1755</v>
      </c>
      <c r="L111" s="30"/>
      <c r="M111" s="32"/>
      <c r="N111" s="30"/>
      <c r="P111" s="30"/>
      <c r="Q111" s="30"/>
      <c r="R111" s="30"/>
    </row>
    <row r="112" spans="1:18" x14ac:dyDescent="0.3">
      <c r="A112" s="39"/>
      <c r="B112" s="39"/>
      <c r="C112" s="6"/>
      <c r="D112" s="13"/>
      <c r="E112" s="14" t="s">
        <v>64</v>
      </c>
      <c r="F112" s="15">
        <f>F111</f>
        <v>1</v>
      </c>
      <c r="G112" s="15" t="s">
        <v>16</v>
      </c>
      <c r="H112" s="16">
        <v>0.4</v>
      </c>
      <c r="I112" s="30">
        <f>H112*$I$109</f>
        <v>2340</v>
      </c>
      <c r="J112" s="30">
        <f t="shared" si="39"/>
        <v>2340</v>
      </c>
      <c r="L112" s="30"/>
      <c r="M112" s="32"/>
      <c r="N112" s="30"/>
      <c r="P112" s="30"/>
      <c r="Q112" s="30"/>
      <c r="R112" s="30"/>
    </row>
    <row r="113" spans="1:18" ht="75" x14ac:dyDescent="0.3">
      <c r="A113" s="20">
        <v>9</v>
      </c>
      <c r="B113" s="20" t="s">
        <v>36</v>
      </c>
      <c r="C113" s="20"/>
      <c r="D113" s="21" t="s">
        <v>74</v>
      </c>
      <c r="E113" s="22"/>
      <c r="F113" s="23">
        <v>1</v>
      </c>
      <c r="G113" s="23" t="s">
        <v>16</v>
      </c>
      <c r="H113" s="24"/>
      <c r="I113" s="29">
        <v>5000</v>
      </c>
      <c r="J113" s="29">
        <f>F113*I113</f>
        <v>5000</v>
      </c>
      <c r="L113" s="29"/>
      <c r="M113" s="29"/>
      <c r="N113" s="29"/>
      <c r="P113" s="29"/>
      <c r="Q113" s="29"/>
      <c r="R113" s="29"/>
    </row>
    <row r="114" spans="1:18" x14ac:dyDescent="0.3">
      <c r="A114" s="38"/>
      <c r="B114" s="38"/>
      <c r="C114" s="9"/>
      <c r="D114" s="12"/>
      <c r="E114" s="14" t="s">
        <v>41</v>
      </c>
      <c r="F114" s="15">
        <f>F113</f>
        <v>1</v>
      </c>
      <c r="G114" s="15" t="s">
        <v>16</v>
      </c>
      <c r="H114" s="16">
        <v>0.3</v>
      </c>
      <c r="I114" s="30">
        <f>H114*$I$113</f>
        <v>1500</v>
      </c>
      <c r="J114" s="30">
        <f>F114*I114</f>
        <v>1500</v>
      </c>
      <c r="L114" s="30"/>
      <c r="M114" s="32"/>
      <c r="N114" s="30"/>
      <c r="P114" s="30"/>
      <c r="Q114" s="30"/>
      <c r="R114" s="30"/>
    </row>
    <row r="115" spans="1:18" x14ac:dyDescent="0.3">
      <c r="A115" s="38"/>
      <c r="B115" s="38"/>
      <c r="C115" s="9"/>
      <c r="D115" s="12"/>
      <c r="E115" s="14" t="s">
        <v>72</v>
      </c>
      <c r="F115" s="15">
        <f>F114</f>
        <v>1</v>
      </c>
      <c r="G115" s="15" t="s">
        <v>16</v>
      </c>
      <c r="H115" s="16">
        <v>0.3</v>
      </c>
      <c r="I115" s="30">
        <f>H115*$I$113</f>
        <v>1500</v>
      </c>
      <c r="J115" s="30">
        <f t="shared" ref="J115:J116" si="40">F115*I115</f>
        <v>1500</v>
      </c>
      <c r="L115" s="30"/>
      <c r="M115" s="32"/>
      <c r="N115" s="30"/>
      <c r="P115" s="30"/>
      <c r="Q115" s="30"/>
      <c r="R115" s="30"/>
    </row>
    <row r="116" spans="1:18" x14ac:dyDescent="0.3">
      <c r="A116" s="39"/>
      <c r="B116" s="39"/>
      <c r="C116" s="6"/>
      <c r="D116" s="13"/>
      <c r="E116" s="14" t="s">
        <v>64</v>
      </c>
      <c r="F116" s="15">
        <f>F115</f>
        <v>1</v>
      </c>
      <c r="G116" s="15" t="s">
        <v>16</v>
      </c>
      <c r="H116" s="16">
        <v>0.4</v>
      </c>
      <c r="I116" s="30">
        <f>H116*$I$113</f>
        <v>2000</v>
      </c>
      <c r="J116" s="30">
        <f t="shared" si="40"/>
        <v>2000</v>
      </c>
      <c r="L116" s="30"/>
      <c r="M116" s="32"/>
      <c r="N116" s="30"/>
      <c r="P116" s="30"/>
      <c r="Q116" s="30"/>
      <c r="R116" s="30"/>
    </row>
    <row r="117" spans="1:18" ht="56.25" x14ac:dyDescent="0.3">
      <c r="A117" s="20">
        <v>10</v>
      </c>
      <c r="B117" s="20" t="s">
        <v>36</v>
      </c>
      <c r="C117" s="20"/>
      <c r="D117" s="21" t="s">
        <v>75</v>
      </c>
      <c r="E117" s="22"/>
      <c r="F117" s="23">
        <v>1</v>
      </c>
      <c r="G117" s="23" t="s">
        <v>16</v>
      </c>
      <c r="H117" s="24"/>
      <c r="I117" s="29">
        <v>3350</v>
      </c>
      <c r="J117" s="29">
        <f>F117*I117</f>
        <v>3350</v>
      </c>
      <c r="L117" s="29"/>
      <c r="M117" s="29"/>
      <c r="N117" s="29"/>
      <c r="P117" s="29"/>
      <c r="Q117" s="29"/>
      <c r="R117" s="29"/>
    </row>
    <row r="118" spans="1:18" x14ac:dyDescent="0.3">
      <c r="A118" s="38"/>
      <c r="B118" s="38"/>
      <c r="C118" s="9"/>
      <c r="D118" s="12"/>
      <c r="E118" s="14" t="s">
        <v>41</v>
      </c>
      <c r="F118" s="15">
        <f>F117</f>
        <v>1</v>
      </c>
      <c r="G118" s="15" t="s">
        <v>16</v>
      </c>
      <c r="H118" s="16">
        <v>0.3</v>
      </c>
      <c r="I118" s="30">
        <f>H118*$I$117</f>
        <v>1005</v>
      </c>
      <c r="J118" s="30">
        <f>F118*I118</f>
        <v>1005</v>
      </c>
      <c r="L118" s="30"/>
      <c r="M118" s="32"/>
      <c r="N118" s="30"/>
      <c r="P118" s="30"/>
      <c r="Q118" s="30"/>
      <c r="R118" s="30"/>
    </row>
    <row r="119" spans="1:18" x14ac:dyDescent="0.3">
      <c r="A119" s="38"/>
      <c r="B119" s="38"/>
      <c r="C119" s="9"/>
      <c r="D119" s="12"/>
      <c r="E119" s="14" t="s">
        <v>72</v>
      </c>
      <c r="F119" s="15">
        <f>F118</f>
        <v>1</v>
      </c>
      <c r="G119" s="15" t="s">
        <v>16</v>
      </c>
      <c r="H119" s="16">
        <v>0.3</v>
      </c>
      <c r="I119" s="30">
        <f>H119*$I$117</f>
        <v>1005</v>
      </c>
      <c r="J119" s="30">
        <f t="shared" ref="J119:J120" si="41">F119*I119</f>
        <v>1005</v>
      </c>
      <c r="L119" s="30"/>
      <c r="M119" s="32"/>
      <c r="N119" s="30"/>
      <c r="P119" s="30"/>
      <c r="Q119" s="30"/>
      <c r="R119" s="30"/>
    </row>
    <row r="120" spans="1:18" x14ac:dyDescent="0.3">
      <c r="A120" s="39"/>
      <c r="B120" s="39"/>
      <c r="C120" s="6"/>
      <c r="D120" s="13"/>
      <c r="E120" s="14" t="s">
        <v>64</v>
      </c>
      <c r="F120" s="15">
        <f>F119</f>
        <v>1</v>
      </c>
      <c r="G120" s="15" t="s">
        <v>16</v>
      </c>
      <c r="H120" s="16">
        <v>0.4</v>
      </c>
      <c r="I120" s="30">
        <f>H120*$I$117</f>
        <v>1340</v>
      </c>
      <c r="J120" s="30">
        <f t="shared" si="41"/>
        <v>1340</v>
      </c>
      <c r="L120" s="30"/>
      <c r="M120" s="32"/>
      <c r="N120" s="30"/>
      <c r="P120" s="30"/>
      <c r="Q120" s="30"/>
      <c r="R120" s="30"/>
    </row>
    <row r="121" spans="1:18" ht="75" x14ac:dyDescent="0.3">
      <c r="A121" s="20">
        <v>11</v>
      </c>
      <c r="B121" s="20" t="s">
        <v>36</v>
      </c>
      <c r="C121" s="20"/>
      <c r="D121" s="21" t="s">
        <v>76</v>
      </c>
      <c r="E121" s="22"/>
      <c r="F121" s="23">
        <v>1</v>
      </c>
      <c r="G121" s="23" t="s">
        <v>16</v>
      </c>
      <c r="H121" s="24"/>
      <c r="I121" s="29">
        <v>6905</v>
      </c>
      <c r="J121" s="29">
        <f>F121*I121</f>
        <v>6905</v>
      </c>
      <c r="L121" s="29"/>
      <c r="M121" s="29"/>
      <c r="N121" s="29"/>
      <c r="P121" s="29"/>
      <c r="Q121" s="29"/>
      <c r="R121" s="29"/>
    </row>
    <row r="122" spans="1:18" x14ac:dyDescent="0.3">
      <c r="A122" s="38"/>
      <c r="B122" s="38"/>
      <c r="C122" s="9"/>
      <c r="D122" s="12"/>
      <c r="E122" s="14" t="s">
        <v>41</v>
      </c>
      <c r="F122" s="15">
        <f>F121</f>
        <v>1</v>
      </c>
      <c r="G122" s="15" t="s">
        <v>16</v>
      </c>
      <c r="H122" s="16">
        <v>0.3</v>
      </c>
      <c r="I122" s="30">
        <f>H122*$I$121</f>
        <v>2071.5</v>
      </c>
      <c r="J122" s="30">
        <f>F122*I122</f>
        <v>2071.5</v>
      </c>
      <c r="L122" s="30"/>
      <c r="M122" s="32"/>
      <c r="N122" s="30"/>
      <c r="P122" s="30"/>
      <c r="Q122" s="30"/>
      <c r="R122" s="30"/>
    </row>
    <row r="123" spans="1:18" x14ac:dyDescent="0.3">
      <c r="A123" s="38"/>
      <c r="B123" s="38"/>
      <c r="C123" s="9"/>
      <c r="D123" s="12"/>
      <c r="E123" s="14" t="s">
        <v>72</v>
      </c>
      <c r="F123" s="15">
        <f>F122</f>
        <v>1</v>
      </c>
      <c r="G123" s="15" t="s">
        <v>16</v>
      </c>
      <c r="H123" s="16">
        <v>0.3</v>
      </c>
      <c r="I123" s="30">
        <f>H123*$I$121</f>
        <v>2071.5</v>
      </c>
      <c r="J123" s="30">
        <f t="shared" ref="J123:J124" si="42">F123*I123</f>
        <v>2071.5</v>
      </c>
      <c r="L123" s="30"/>
      <c r="M123" s="32"/>
      <c r="N123" s="30"/>
      <c r="P123" s="30"/>
      <c r="Q123" s="30"/>
      <c r="R123" s="30"/>
    </row>
    <row r="124" spans="1:18" x14ac:dyDescent="0.3">
      <c r="A124" s="39"/>
      <c r="B124" s="39"/>
      <c r="C124" s="6"/>
      <c r="D124" s="13"/>
      <c r="E124" s="14" t="s">
        <v>64</v>
      </c>
      <c r="F124" s="15">
        <f>F123</f>
        <v>1</v>
      </c>
      <c r="G124" s="15" t="s">
        <v>16</v>
      </c>
      <c r="H124" s="16">
        <v>0.4</v>
      </c>
      <c r="I124" s="30">
        <f>H124*$I$121</f>
        <v>2762</v>
      </c>
      <c r="J124" s="30">
        <f t="shared" si="42"/>
        <v>2762</v>
      </c>
      <c r="L124" s="30"/>
      <c r="M124" s="32"/>
      <c r="N124" s="30"/>
      <c r="P124" s="30"/>
      <c r="Q124" s="30"/>
      <c r="R124" s="30"/>
    </row>
    <row r="125" spans="1:18" ht="56.25" x14ac:dyDescent="0.3">
      <c r="A125" s="20">
        <v>12</v>
      </c>
      <c r="B125" s="20" t="s">
        <v>36</v>
      </c>
      <c r="C125" s="20"/>
      <c r="D125" s="21" t="s">
        <v>77</v>
      </c>
      <c r="E125" s="22"/>
      <c r="F125" s="23">
        <v>1</v>
      </c>
      <c r="G125" s="23" t="s">
        <v>16</v>
      </c>
      <c r="H125" s="24"/>
      <c r="I125" s="29">
        <v>7150</v>
      </c>
      <c r="J125" s="29">
        <f>F125*I125</f>
        <v>7150</v>
      </c>
      <c r="L125" s="29"/>
      <c r="M125" s="29"/>
      <c r="N125" s="29"/>
      <c r="P125" s="29"/>
      <c r="Q125" s="29"/>
      <c r="R125" s="29"/>
    </row>
    <row r="126" spans="1:18" x14ac:dyDescent="0.3">
      <c r="A126" s="38"/>
      <c r="B126" s="38"/>
      <c r="C126" s="9"/>
      <c r="D126" s="12"/>
      <c r="E126" s="14" t="s">
        <v>41</v>
      </c>
      <c r="F126" s="15">
        <f>F125</f>
        <v>1</v>
      </c>
      <c r="G126" s="15" t="s">
        <v>16</v>
      </c>
      <c r="H126" s="16">
        <v>0.3</v>
      </c>
      <c r="I126" s="30">
        <f>H126*$I$125</f>
        <v>2145</v>
      </c>
      <c r="J126" s="30">
        <f>F126*I126</f>
        <v>2145</v>
      </c>
      <c r="L126" s="30"/>
      <c r="M126" s="32"/>
      <c r="N126" s="30"/>
      <c r="P126" s="30"/>
      <c r="Q126" s="30"/>
      <c r="R126" s="30"/>
    </row>
    <row r="127" spans="1:18" x14ac:dyDescent="0.3">
      <c r="A127" s="38"/>
      <c r="B127" s="38"/>
      <c r="C127" s="9"/>
      <c r="D127" s="12"/>
      <c r="E127" s="14" t="s">
        <v>72</v>
      </c>
      <c r="F127" s="15">
        <f>F126</f>
        <v>1</v>
      </c>
      <c r="G127" s="15" t="s">
        <v>16</v>
      </c>
      <c r="H127" s="16">
        <v>0.3</v>
      </c>
      <c r="I127" s="30">
        <f>H127*$I$125</f>
        <v>2145</v>
      </c>
      <c r="J127" s="30">
        <f t="shared" ref="J127:J128" si="43">F127*I127</f>
        <v>2145</v>
      </c>
      <c r="L127" s="30"/>
      <c r="M127" s="32"/>
      <c r="N127" s="30"/>
      <c r="P127" s="30"/>
      <c r="Q127" s="30"/>
      <c r="R127" s="30"/>
    </row>
    <row r="128" spans="1:18" x14ac:dyDescent="0.3">
      <c r="A128" s="39"/>
      <c r="B128" s="39"/>
      <c r="C128" s="6"/>
      <c r="D128" s="13"/>
      <c r="E128" s="14" t="s">
        <v>64</v>
      </c>
      <c r="F128" s="15">
        <f>F127</f>
        <v>1</v>
      </c>
      <c r="G128" s="15" t="s">
        <v>16</v>
      </c>
      <c r="H128" s="16">
        <v>0.4</v>
      </c>
      <c r="I128" s="30">
        <f>H128*$I$125</f>
        <v>2860</v>
      </c>
      <c r="J128" s="30">
        <f t="shared" si="43"/>
        <v>2860</v>
      </c>
      <c r="L128" s="30"/>
      <c r="M128" s="32"/>
      <c r="N128" s="30"/>
      <c r="P128" s="30"/>
      <c r="Q128" s="30"/>
      <c r="R128" s="30"/>
    </row>
    <row r="129" spans="1:18" ht="75" x14ac:dyDescent="0.3">
      <c r="A129" s="20">
        <v>13</v>
      </c>
      <c r="B129" s="20" t="s">
        <v>36</v>
      </c>
      <c r="C129" s="20"/>
      <c r="D129" s="21" t="s">
        <v>78</v>
      </c>
      <c r="E129" s="22"/>
      <c r="F129" s="23">
        <v>2</v>
      </c>
      <c r="G129" s="23" t="s">
        <v>16</v>
      </c>
      <c r="H129" s="24"/>
      <c r="I129" s="29">
        <v>5000</v>
      </c>
      <c r="J129" s="29">
        <f>F129*I129</f>
        <v>10000</v>
      </c>
      <c r="L129" s="29"/>
      <c r="M129" s="29"/>
      <c r="N129" s="29"/>
      <c r="P129" s="29"/>
      <c r="Q129" s="29"/>
      <c r="R129" s="29"/>
    </row>
    <row r="130" spans="1:18" x14ac:dyDescent="0.3">
      <c r="A130" s="38"/>
      <c r="B130" s="38"/>
      <c r="C130" s="9"/>
      <c r="D130" s="12"/>
      <c r="E130" s="14" t="s">
        <v>41</v>
      </c>
      <c r="F130" s="15">
        <f>F129</f>
        <v>2</v>
      </c>
      <c r="G130" s="15" t="s">
        <v>16</v>
      </c>
      <c r="H130" s="16">
        <v>0.3</v>
      </c>
      <c r="I130" s="30">
        <f>H130*$I$129</f>
        <v>1500</v>
      </c>
      <c r="J130" s="30">
        <f>F130*I130</f>
        <v>3000</v>
      </c>
      <c r="L130" s="30"/>
      <c r="M130" s="32"/>
      <c r="N130" s="30"/>
      <c r="P130" s="30"/>
      <c r="Q130" s="30"/>
      <c r="R130" s="30"/>
    </row>
    <row r="131" spans="1:18" x14ac:dyDescent="0.3">
      <c r="A131" s="38"/>
      <c r="B131" s="38"/>
      <c r="C131" s="9"/>
      <c r="D131" s="12"/>
      <c r="E131" s="14" t="s">
        <v>72</v>
      </c>
      <c r="F131" s="15">
        <f>F130</f>
        <v>2</v>
      </c>
      <c r="G131" s="15" t="s">
        <v>16</v>
      </c>
      <c r="H131" s="16">
        <v>0.3</v>
      </c>
      <c r="I131" s="30">
        <f>H131*$I$129</f>
        <v>1500</v>
      </c>
      <c r="J131" s="30">
        <f t="shared" ref="J131:J132" si="44">F131*I131</f>
        <v>3000</v>
      </c>
      <c r="L131" s="30"/>
      <c r="M131" s="32"/>
      <c r="N131" s="30"/>
      <c r="P131" s="30"/>
      <c r="Q131" s="30"/>
      <c r="R131" s="30"/>
    </row>
    <row r="132" spans="1:18" x14ac:dyDescent="0.3">
      <c r="A132" s="39"/>
      <c r="B132" s="39"/>
      <c r="C132" s="6"/>
      <c r="D132" s="13"/>
      <c r="E132" s="14" t="s">
        <v>64</v>
      </c>
      <c r="F132" s="15">
        <f>F131</f>
        <v>2</v>
      </c>
      <c r="G132" s="15" t="s">
        <v>16</v>
      </c>
      <c r="H132" s="16">
        <v>0.4</v>
      </c>
      <c r="I132" s="30">
        <f>H132*$I$129</f>
        <v>2000</v>
      </c>
      <c r="J132" s="30">
        <f t="shared" si="44"/>
        <v>4000</v>
      </c>
      <c r="L132" s="30"/>
      <c r="M132" s="32"/>
      <c r="N132" s="30"/>
      <c r="P132" s="30"/>
      <c r="Q132" s="30"/>
      <c r="R132" s="30"/>
    </row>
    <row r="133" spans="1:18" ht="56.25" x14ac:dyDescent="0.3">
      <c r="A133" s="20">
        <v>14</v>
      </c>
      <c r="B133" s="20" t="s">
        <v>36</v>
      </c>
      <c r="C133" s="20"/>
      <c r="D133" s="21" t="s">
        <v>79</v>
      </c>
      <c r="E133" s="22"/>
      <c r="F133" s="23">
        <v>1</v>
      </c>
      <c r="G133" s="23" t="s">
        <v>16</v>
      </c>
      <c r="H133" s="24"/>
      <c r="I133" s="29">
        <v>19880</v>
      </c>
      <c r="J133" s="29">
        <f>F133*I133</f>
        <v>19880</v>
      </c>
      <c r="L133" s="29"/>
      <c r="M133" s="29"/>
      <c r="N133" s="29"/>
      <c r="P133" s="29"/>
      <c r="Q133" s="29"/>
      <c r="R133" s="29"/>
    </row>
    <row r="134" spans="1:18" x14ac:dyDescent="0.3">
      <c r="A134" s="38"/>
      <c r="B134" s="38"/>
      <c r="C134" s="9"/>
      <c r="D134" s="12"/>
      <c r="E134" s="14" t="s">
        <v>41</v>
      </c>
      <c r="F134" s="15">
        <f>F133</f>
        <v>1</v>
      </c>
      <c r="G134" s="15" t="s">
        <v>16</v>
      </c>
      <c r="H134" s="16">
        <v>0.3</v>
      </c>
      <c r="I134" s="30">
        <f>H134*$I$133</f>
        <v>5964</v>
      </c>
      <c r="J134" s="30">
        <f>F134*I134</f>
        <v>5964</v>
      </c>
      <c r="L134" s="30"/>
      <c r="M134" s="32"/>
      <c r="N134" s="30"/>
      <c r="P134" s="30"/>
      <c r="Q134" s="30"/>
      <c r="R134" s="30"/>
    </row>
    <row r="135" spans="1:18" x14ac:dyDescent="0.3">
      <c r="A135" s="38"/>
      <c r="B135" s="38"/>
      <c r="C135" s="9"/>
      <c r="D135" s="12"/>
      <c r="E135" s="14" t="s">
        <v>72</v>
      </c>
      <c r="F135" s="15">
        <f>F134</f>
        <v>1</v>
      </c>
      <c r="G135" s="15" t="s">
        <v>16</v>
      </c>
      <c r="H135" s="16">
        <v>0.2</v>
      </c>
      <c r="I135" s="30">
        <f>H135*$I$133</f>
        <v>3976</v>
      </c>
      <c r="J135" s="30">
        <f t="shared" ref="J135:J136" si="45">F135*I135</f>
        <v>3976</v>
      </c>
      <c r="L135" s="30"/>
      <c r="M135" s="32"/>
      <c r="N135" s="30"/>
      <c r="P135" s="30"/>
      <c r="Q135" s="30"/>
      <c r="R135" s="30"/>
    </row>
    <row r="136" spans="1:18" x14ac:dyDescent="0.3">
      <c r="A136" s="39"/>
      <c r="B136" s="39"/>
      <c r="C136" s="6"/>
      <c r="D136" s="13"/>
      <c r="E136" s="14" t="s">
        <v>64</v>
      </c>
      <c r="F136" s="15">
        <f>F135</f>
        <v>1</v>
      </c>
      <c r="G136" s="15" t="s">
        <v>16</v>
      </c>
      <c r="H136" s="16">
        <v>0.5</v>
      </c>
      <c r="I136" s="30">
        <f>H136*$I$133</f>
        <v>9940</v>
      </c>
      <c r="J136" s="30">
        <f t="shared" si="45"/>
        <v>9940</v>
      </c>
      <c r="L136" s="30"/>
      <c r="M136" s="32"/>
      <c r="N136" s="30"/>
      <c r="P136" s="30"/>
      <c r="Q136" s="30"/>
      <c r="R136" s="30"/>
    </row>
    <row r="137" spans="1:18" ht="56.25" x14ac:dyDescent="0.3">
      <c r="A137" s="20">
        <v>15</v>
      </c>
      <c r="B137" s="20" t="s">
        <v>36</v>
      </c>
      <c r="C137" s="20"/>
      <c r="D137" s="21" t="s">
        <v>79</v>
      </c>
      <c r="E137" s="22"/>
      <c r="F137" s="23">
        <v>1</v>
      </c>
      <c r="G137" s="23" t="s">
        <v>16</v>
      </c>
      <c r="H137" s="24"/>
      <c r="I137" s="29">
        <v>22500</v>
      </c>
      <c r="J137" s="29">
        <f>F137*I137</f>
        <v>22500</v>
      </c>
      <c r="L137" s="29"/>
      <c r="M137" s="29"/>
      <c r="N137" s="29"/>
      <c r="P137" s="29"/>
      <c r="Q137" s="29"/>
      <c r="R137" s="29"/>
    </row>
    <row r="138" spans="1:18" x14ac:dyDescent="0.3">
      <c r="A138" s="38"/>
      <c r="B138" s="38"/>
      <c r="C138" s="9"/>
      <c r="D138" s="12"/>
      <c r="E138" s="14" t="s">
        <v>41</v>
      </c>
      <c r="F138" s="15">
        <f>F137</f>
        <v>1</v>
      </c>
      <c r="G138" s="15" t="s">
        <v>16</v>
      </c>
      <c r="H138" s="16">
        <v>0.3</v>
      </c>
      <c r="I138" s="30">
        <f>H138*$I$137</f>
        <v>6750</v>
      </c>
      <c r="J138" s="30">
        <f>F138*I138</f>
        <v>6750</v>
      </c>
      <c r="L138" s="30"/>
      <c r="M138" s="32"/>
      <c r="N138" s="30"/>
      <c r="P138" s="30"/>
      <c r="Q138" s="30"/>
      <c r="R138" s="30"/>
    </row>
    <row r="139" spans="1:18" x14ac:dyDescent="0.3">
      <c r="A139" s="38"/>
      <c r="B139" s="38"/>
      <c r="C139" s="9"/>
      <c r="D139" s="12"/>
      <c r="E139" s="14" t="s">
        <v>72</v>
      </c>
      <c r="F139" s="15">
        <f>F138</f>
        <v>1</v>
      </c>
      <c r="G139" s="15" t="s">
        <v>16</v>
      </c>
      <c r="H139" s="16">
        <v>0.2</v>
      </c>
      <c r="I139" s="30">
        <f>H139*$I$137</f>
        <v>4500</v>
      </c>
      <c r="J139" s="30">
        <f t="shared" ref="J139:J140" si="46">F139*I139</f>
        <v>4500</v>
      </c>
      <c r="L139" s="30"/>
      <c r="M139" s="32"/>
      <c r="N139" s="30"/>
      <c r="P139" s="30"/>
      <c r="Q139" s="30"/>
      <c r="R139" s="30"/>
    </row>
    <row r="140" spans="1:18" x14ac:dyDescent="0.3">
      <c r="A140" s="39"/>
      <c r="B140" s="39"/>
      <c r="C140" s="6"/>
      <c r="D140" s="13"/>
      <c r="E140" s="14" t="s">
        <v>64</v>
      </c>
      <c r="F140" s="15">
        <f>F139</f>
        <v>1</v>
      </c>
      <c r="G140" s="15" t="s">
        <v>16</v>
      </c>
      <c r="H140" s="16">
        <v>0.5</v>
      </c>
      <c r="I140" s="30">
        <f>H140*$I$137</f>
        <v>11250</v>
      </c>
      <c r="J140" s="30">
        <f t="shared" si="46"/>
        <v>11250</v>
      </c>
      <c r="L140" s="30"/>
      <c r="M140" s="32"/>
      <c r="N140" s="30"/>
      <c r="P140" s="30"/>
      <c r="Q140" s="30"/>
      <c r="R140" s="30"/>
    </row>
    <row r="141" spans="1:18" ht="56.25" x14ac:dyDescent="0.3">
      <c r="A141" s="20">
        <v>16</v>
      </c>
      <c r="B141" s="20" t="s">
        <v>36</v>
      </c>
      <c r="C141" s="20"/>
      <c r="D141" s="21" t="s">
        <v>80</v>
      </c>
      <c r="E141" s="22"/>
      <c r="F141" s="23">
        <v>1</v>
      </c>
      <c r="G141" s="23" t="s">
        <v>16</v>
      </c>
      <c r="H141" s="24"/>
      <c r="I141" s="29">
        <v>5600</v>
      </c>
      <c r="J141" s="29">
        <f>F141*I141</f>
        <v>5600</v>
      </c>
      <c r="L141" s="29"/>
      <c r="M141" s="29"/>
      <c r="N141" s="29"/>
      <c r="P141" s="29"/>
      <c r="Q141" s="29"/>
      <c r="R141" s="29"/>
    </row>
    <row r="142" spans="1:18" x14ac:dyDescent="0.3">
      <c r="A142" s="38"/>
      <c r="B142" s="38"/>
      <c r="C142" s="9"/>
      <c r="D142" s="12"/>
      <c r="E142" s="14" t="s">
        <v>41</v>
      </c>
      <c r="F142" s="15">
        <f>F141</f>
        <v>1</v>
      </c>
      <c r="G142" s="15" t="s">
        <v>16</v>
      </c>
      <c r="H142" s="16">
        <v>0.3</v>
      </c>
      <c r="I142" s="30">
        <f>H142*$I$141</f>
        <v>1680</v>
      </c>
      <c r="J142" s="30">
        <f>F142*I142</f>
        <v>1680</v>
      </c>
      <c r="L142" s="30"/>
      <c r="M142" s="32"/>
      <c r="N142" s="30"/>
      <c r="P142" s="30"/>
      <c r="Q142" s="30"/>
      <c r="R142" s="30"/>
    </row>
    <row r="143" spans="1:18" x14ac:dyDescent="0.3">
      <c r="A143" s="38"/>
      <c r="B143" s="38"/>
      <c r="C143" s="9"/>
      <c r="D143" s="12"/>
      <c r="E143" s="14" t="s">
        <v>72</v>
      </c>
      <c r="F143" s="15">
        <f>F142</f>
        <v>1</v>
      </c>
      <c r="G143" s="15" t="s">
        <v>16</v>
      </c>
      <c r="H143" s="16">
        <v>0.2</v>
      </c>
      <c r="I143" s="30">
        <f>H143*$I$141</f>
        <v>1120</v>
      </c>
      <c r="J143" s="30">
        <f t="shared" ref="J143:J144" si="47">F143*I143</f>
        <v>1120</v>
      </c>
      <c r="L143" s="30"/>
      <c r="M143" s="32"/>
      <c r="N143" s="30"/>
      <c r="P143" s="30"/>
      <c r="Q143" s="30"/>
      <c r="R143" s="30"/>
    </row>
    <row r="144" spans="1:18" x14ac:dyDescent="0.3">
      <c r="A144" s="39"/>
      <c r="B144" s="39"/>
      <c r="C144" s="6"/>
      <c r="D144" s="13"/>
      <c r="E144" s="14" t="s">
        <v>64</v>
      </c>
      <c r="F144" s="15">
        <f>F143</f>
        <v>1</v>
      </c>
      <c r="G144" s="15" t="s">
        <v>16</v>
      </c>
      <c r="H144" s="16">
        <v>0.5</v>
      </c>
      <c r="I144" s="30">
        <f>H144*$I$141</f>
        <v>2800</v>
      </c>
      <c r="J144" s="30">
        <f t="shared" si="47"/>
        <v>2800</v>
      </c>
      <c r="L144" s="30"/>
      <c r="M144" s="32"/>
      <c r="N144" s="30"/>
      <c r="P144" s="30"/>
      <c r="Q144" s="30"/>
      <c r="R144" s="30"/>
    </row>
    <row r="145" spans="1:18" ht="56.25" x14ac:dyDescent="0.3">
      <c r="A145" s="20">
        <v>17</v>
      </c>
      <c r="B145" s="20" t="s">
        <v>36</v>
      </c>
      <c r="C145" s="20"/>
      <c r="D145" s="21" t="s">
        <v>81</v>
      </c>
      <c r="E145" s="22"/>
      <c r="F145" s="23">
        <v>2</v>
      </c>
      <c r="G145" s="23" t="s">
        <v>16</v>
      </c>
      <c r="H145" s="24"/>
      <c r="I145" s="29">
        <v>6500</v>
      </c>
      <c r="J145" s="29">
        <f>F145*I145</f>
        <v>13000</v>
      </c>
      <c r="L145" s="29"/>
      <c r="M145" s="29"/>
      <c r="N145" s="29"/>
      <c r="P145" s="29"/>
      <c r="Q145" s="29"/>
      <c r="R145" s="29"/>
    </row>
    <row r="146" spans="1:18" x14ac:dyDescent="0.3">
      <c r="A146" s="38"/>
      <c r="B146" s="38"/>
      <c r="C146" s="9"/>
      <c r="D146" s="12"/>
      <c r="E146" s="14" t="s">
        <v>41</v>
      </c>
      <c r="F146" s="15">
        <f>F145</f>
        <v>2</v>
      </c>
      <c r="G146" s="15" t="s">
        <v>16</v>
      </c>
      <c r="H146" s="16">
        <v>0.3</v>
      </c>
      <c r="I146" s="30">
        <f>H146*$I$145</f>
        <v>1950</v>
      </c>
      <c r="J146" s="30">
        <f>F146*I146</f>
        <v>3900</v>
      </c>
      <c r="L146" s="30"/>
      <c r="M146" s="32"/>
      <c r="N146" s="30"/>
      <c r="P146" s="30"/>
      <c r="Q146" s="30"/>
      <c r="R146" s="30"/>
    </row>
    <row r="147" spans="1:18" x14ac:dyDescent="0.3">
      <c r="A147" s="38"/>
      <c r="B147" s="38"/>
      <c r="C147" s="9"/>
      <c r="D147" s="12"/>
      <c r="E147" s="14" t="s">
        <v>72</v>
      </c>
      <c r="F147" s="15">
        <f>F146</f>
        <v>2</v>
      </c>
      <c r="G147" s="15" t="s">
        <v>16</v>
      </c>
      <c r="H147" s="16">
        <v>0.2</v>
      </c>
      <c r="I147" s="30">
        <f>H147*$I$145</f>
        <v>1300</v>
      </c>
      <c r="J147" s="30">
        <f t="shared" ref="J147:J148" si="48">F147*I147</f>
        <v>2600</v>
      </c>
      <c r="L147" s="30"/>
      <c r="M147" s="32"/>
      <c r="N147" s="30"/>
      <c r="P147" s="30"/>
      <c r="Q147" s="30"/>
      <c r="R147" s="30"/>
    </row>
    <row r="148" spans="1:18" x14ac:dyDescent="0.3">
      <c r="A148" s="39"/>
      <c r="B148" s="39"/>
      <c r="C148" s="6"/>
      <c r="D148" s="13"/>
      <c r="E148" s="14" t="s">
        <v>64</v>
      </c>
      <c r="F148" s="15">
        <f>F147</f>
        <v>2</v>
      </c>
      <c r="G148" s="15" t="s">
        <v>16</v>
      </c>
      <c r="H148" s="16">
        <v>0.5</v>
      </c>
      <c r="I148" s="30">
        <f>H148*$I$145</f>
        <v>3250</v>
      </c>
      <c r="J148" s="30">
        <f t="shared" si="48"/>
        <v>6500</v>
      </c>
      <c r="L148" s="30"/>
      <c r="M148" s="32"/>
      <c r="N148" s="30"/>
      <c r="P148" s="30"/>
      <c r="Q148" s="30"/>
      <c r="R148" s="30"/>
    </row>
    <row r="149" spans="1:18" ht="56.25" x14ac:dyDescent="0.3">
      <c r="A149" s="20">
        <v>18</v>
      </c>
      <c r="B149" s="20" t="s">
        <v>36</v>
      </c>
      <c r="C149" s="20"/>
      <c r="D149" s="21" t="s">
        <v>82</v>
      </c>
      <c r="E149" s="22"/>
      <c r="F149" s="23">
        <v>1</v>
      </c>
      <c r="G149" s="23" t="s">
        <v>16</v>
      </c>
      <c r="H149" s="24"/>
      <c r="I149" s="29">
        <v>15000</v>
      </c>
      <c r="J149" s="29">
        <f>F149*I149</f>
        <v>15000</v>
      </c>
      <c r="L149" s="29"/>
      <c r="M149" s="29"/>
      <c r="N149" s="29"/>
      <c r="P149" s="29"/>
      <c r="Q149" s="29"/>
      <c r="R149" s="29"/>
    </row>
    <row r="150" spans="1:18" x14ac:dyDescent="0.3">
      <c r="A150" s="38"/>
      <c r="B150" s="38"/>
      <c r="C150" s="9"/>
      <c r="D150" s="12"/>
      <c r="E150" s="14" t="s">
        <v>41</v>
      </c>
      <c r="F150" s="15">
        <f>F149</f>
        <v>1</v>
      </c>
      <c r="G150" s="15" t="s">
        <v>16</v>
      </c>
      <c r="H150" s="16">
        <v>0.3</v>
      </c>
      <c r="I150" s="30">
        <f>H150*$I$149</f>
        <v>4500</v>
      </c>
      <c r="J150" s="30">
        <f>F150*I150</f>
        <v>4500</v>
      </c>
      <c r="L150" s="30"/>
      <c r="M150" s="32"/>
      <c r="N150" s="30"/>
      <c r="P150" s="30"/>
      <c r="Q150" s="30"/>
      <c r="R150" s="30"/>
    </row>
    <row r="151" spans="1:18" x14ac:dyDescent="0.3">
      <c r="A151" s="38"/>
      <c r="B151" s="38"/>
      <c r="C151" s="9"/>
      <c r="D151" s="12"/>
      <c r="E151" s="14" t="s">
        <v>72</v>
      </c>
      <c r="F151" s="15">
        <f>F150</f>
        <v>1</v>
      </c>
      <c r="G151" s="15" t="s">
        <v>16</v>
      </c>
      <c r="H151" s="16">
        <v>0.2</v>
      </c>
      <c r="I151" s="30">
        <f>H151*$I$149</f>
        <v>3000</v>
      </c>
      <c r="J151" s="30">
        <f t="shared" ref="J151:J152" si="49">F151*I151</f>
        <v>3000</v>
      </c>
      <c r="L151" s="30"/>
      <c r="M151" s="32"/>
      <c r="N151" s="30"/>
      <c r="P151" s="30"/>
      <c r="Q151" s="30"/>
      <c r="R151" s="30"/>
    </row>
    <row r="152" spans="1:18" x14ac:dyDescent="0.3">
      <c r="A152" s="39"/>
      <c r="B152" s="39"/>
      <c r="C152" s="6"/>
      <c r="D152" s="13"/>
      <c r="E152" s="14" t="s">
        <v>64</v>
      </c>
      <c r="F152" s="15">
        <f>F151</f>
        <v>1</v>
      </c>
      <c r="G152" s="15" t="s">
        <v>16</v>
      </c>
      <c r="H152" s="16">
        <v>0.5</v>
      </c>
      <c r="I152" s="30">
        <f>H152*$I$149</f>
        <v>7500</v>
      </c>
      <c r="J152" s="30">
        <f t="shared" si="49"/>
        <v>7500</v>
      </c>
      <c r="L152" s="30"/>
      <c r="M152" s="32"/>
      <c r="N152" s="30"/>
      <c r="P152" s="30"/>
      <c r="Q152" s="30"/>
      <c r="R152" s="30"/>
    </row>
    <row r="153" spans="1:18" ht="75" x14ac:dyDescent="0.3">
      <c r="A153" s="20">
        <v>19</v>
      </c>
      <c r="B153" s="20" t="s">
        <v>36</v>
      </c>
      <c r="C153" s="20"/>
      <c r="D153" s="25" t="s">
        <v>83</v>
      </c>
      <c r="E153" s="22"/>
      <c r="F153" s="23">
        <v>8</v>
      </c>
      <c r="G153" s="23" t="s">
        <v>16</v>
      </c>
      <c r="H153" s="24"/>
      <c r="I153" s="29">
        <v>3100</v>
      </c>
      <c r="J153" s="29">
        <f>F153*I153</f>
        <v>24800</v>
      </c>
      <c r="L153" s="29"/>
      <c r="M153" s="29"/>
      <c r="N153" s="29"/>
      <c r="P153" s="29"/>
      <c r="Q153" s="29"/>
      <c r="R153" s="29"/>
    </row>
    <row r="154" spans="1:18" x14ac:dyDescent="0.3">
      <c r="A154" s="38"/>
      <c r="B154" s="38"/>
      <c r="C154" s="9"/>
      <c r="D154" s="12"/>
      <c r="E154" s="14" t="s">
        <v>41</v>
      </c>
      <c r="F154" s="15">
        <f>F153</f>
        <v>8</v>
      </c>
      <c r="G154" s="15" t="s">
        <v>16</v>
      </c>
      <c r="H154" s="16">
        <v>0.3</v>
      </c>
      <c r="I154" s="30">
        <f>H154*$I$153</f>
        <v>930</v>
      </c>
      <c r="J154" s="30">
        <f>F154*I154</f>
        <v>7440</v>
      </c>
      <c r="L154" s="30"/>
      <c r="M154" s="32"/>
      <c r="N154" s="30"/>
      <c r="P154" s="30"/>
      <c r="Q154" s="30"/>
      <c r="R154" s="30"/>
    </row>
    <row r="155" spans="1:18" x14ac:dyDescent="0.3">
      <c r="A155" s="38"/>
      <c r="B155" s="38"/>
      <c r="C155" s="9"/>
      <c r="D155" s="12"/>
      <c r="E155" s="14" t="s">
        <v>72</v>
      </c>
      <c r="F155" s="15">
        <f>F154</f>
        <v>8</v>
      </c>
      <c r="G155" s="15" t="s">
        <v>16</v>
      </c>
      <c r="H155" s="16">
        <v>0.2</v>
      </c>
      <c r="I155" s="30">
        <f>H155*$I$153</f>
        <v>620</v>
      </c>
      <c r="J155" s="30">
        <f t="shared" ref="J155:J156" si="50">F155*I155</f>
        <v>4960</v>
      </c>
      <c r="L155" s="30"/>
      <c r="M155" s="32"/>
      <c r="N155" s="30"/>
      <c r="P155" s="30"/>
      <c r="Q155" s="30"/>
      <c r="R155" s="30"/>
    </row>
    <row r="156" spans="1:18" x14ac:dyDescent="0.3">
      <c r="A156" s="39"/>
      <c r="B156" s="39"/>
      <c r="C156" s="6"/>
      <c r="D156" s="13"/>
      <c r="E156" s="14" t="s">
        <v>64</v>
      </c>
      <c r="F156" s="15">
        <f>F155</f>
        <v>8</v>
      </c>
      <c r="G156" s="15" t="s">
        <v>16</v>
      </c>
      <c r="H156" s="16">
        <v>0.5</v>
      </c>
      <c r="I156" s="30">
        <f>H156*$I$153</f>
        <v>1550</v>
      </c>
      <c r="J156" s="30">
        <f t="shared" si="50"/>
        <v>12400</v>
      </c>
      <c r="L156" s="30"/>
      <c r="M156" s="32"/>
      <c r="N156" s="30"/>
      <c r="P156" s="30"/>
      <c r="Q156" s="30"/>
      <c r="R156" s="30"/>
    </row>
    <row r="157" spans="1:18" ht="75" x14ac:dyDescent="0.3">
      <c r="A157" s="20">
        <v>20</v>
      </c>
      <c r="B157" s="20" t="s">
        <v>36</v>
      </c>
      <c r="C157" s="20"/>
      <c r="D157" s="25" t="s">
        <v>84</v>
      </c>
      <c r="E157" s="22"/>
      <c r="F157" s="23">
        <v>1</v>
      </c>
      <c r="G157" s="23" t="s">
        <v>16</v>
      </c>
      <c r="H157" s="24"/>
      <c r="I157" s="29">
        <v>3500</v>
      </c>
      <c r="J157" s="29">
        <f>F157*I157</f>
        <v>3500</v>
      </c>
      <c r="L157" s="29"/>
      <c r="M157" s="29"/>
      <c r="N157" s="29"/>
      <c r="P157" s="29"/>
      <c r="Q157" s="29"/>
      <c r="R157" s="29"/>
    </row>
    <row r="158" spans="1:18" x14ac:dyDescent="0.3">
      <c r="A158" s="38"/>
      <c r="B158" s="38"/>
      <c r="C158" s="9"/>
      <c r="D158" s="12"/>
      <c r="E158" s="14" t="s">
        <v>41</v>
      </c>
      <c r="F158" s="15">
        <f>F157</f>
        <v>1</v>
      </c>
      <c r="G158" s="15" t="s">
        <v>16</v>
      </c>
      <c r="H158" s="16">
        <v>0.3</v>
      </c>
      <c r="I158" s="30">
        <f>H158*$I$157</f>
        <v>1050</v>
      </c>
      <c r="J158" s="30">
        <f>F158*I158</f>
        <v>1050</v>
      </c>
      <c r="L158" s="30"/>
      <c r="M158" s="32"/>
      <c r="N158" s="30"/>
      <c r="P158" s="30"/>
      <c r="Q158" s="30"/>
      <c r="R158" s="30"/>
    </row>
    <row r="159" spans="1:18" x14ac:dyDescent="0.3">
      <c r="A159" s="38"/>
      <c r="B159" s="38"/>
      <c r="C159" s="9"/>
      <c r="D159" s="12"/>
      <c r="E159" s="14" t="s">
        <v>72</v>
      </c>
      <c r="F159" s="15">
        <f>F158</f>
        <v>1</v>
      </c>
      <c r="G159" s="15" t="s">
        <v>16</v>
      </c>
      <c r="H159" s="16">
        <v>0.2</v>
      </c>
      <c r="I159" s="30">
        <f>H159*$I$157</f>
        <v>700</v>
      </c>
      <c r="J159" s="30">
        <f t="shared" ref="J159:J160" si="51">F159*I159</f>
        <v>700</v>
      </c>
      <c r="L159" s="30"/>
      <c r="M159" s="32"/>
      <c r="N159" s="30"/>
      <c r="P159" s="30"/>
      <c r="Q159" s="30"/>
      <c r="R159" s="30"/>
    </row>
    <row r="160" spans="1:18" x14ac:dyDescent="0.3">
      <c r="A160" s="39"/>
      <c r="B160" s="39"/>
      <c r="C160" s="6"/>
      <c r="D160" s="13"/>
      <c r="E160" s="14" t="s">
        <v>64</v>
      </c>
      <c r="F160" s="15">
        <f>F159</f>
        <v>1</v>
      </c>
      <c r="G160" s="15" t="s">
        <v>16</v>
      </c>
      <c r="H160" s="16">
        <v>0.5</v>
      </c>
      <c r="I160" s="30">
        <f>H160*$I$157</f>
        <v>1750</v>
      </c>
      <c r="J160" s="30">
        <f t="shared" si="51"/>
        <v>1750</v>
      </c>
      <c r="L160" s="30"/>
      <c r="M160" s="32"/>
      <c r="N160" s="30"/>
      <c r="P160" s="30"/>
      <c r="Q160" s="30"/>
      <c r="R160" s="30"/>
    </row>
    <row r="162" spans="10:18" x14ac:dyDescent="0.3">
      <c r="J162" s="31">
        <f>J3+J11+J20+J28+J35+J36+J39+J42+J45+J48+J50+J56+J62+J69+J75+J78+J86+J93+J99+J105+J109+J113+J117+J121+J125+J129+J133+J137+J141+J145+J149+J157+J153</f>
        <v>420250</v>
      </c>
      <c r="P162" s="31">
        <f t="shared" ref="P162:R162" si="52">P3+P11+P20+P28+P35+P36+P39+P42+P45+P48+P50+P56+P62+P69+P75+P78+P86+P93+P99+P105+P109+P113+P117+P121+P125+P129+P133+P137+P141+P145+P149+P157+P153</f>
        <v>23490</v>
      </c>
      <c r="Q162" s="31">
        <f t="shared" si="52"/>
        <v>6652.7999999999993</v>
      </c>
      <c r="R162" s="31">
        <f t="shared" si="52"/>
        <v>20833.2</v>
      </c>
    </row>
    <row r="163" spans="10:18" x14ac:dyDescent="0.3">
      <c r="Q163" s="27">
        <f>Q162/J162</f>
        <v>1.583057703747769E-2</v>
      </c>
    </row>
  </sheetData>
  <autoFilter ref="A1:R160" xr:uid="{DF7E5A8F-6B35-4F05-A5B1-D732E558F182}"/>
  <mergeCells count="54">
    <mergeCell ref="A154:A156"/>
    <mergeCell ref="B154:B156"/>
    <mergeCell ref="A158:A160"/>
    <mergeCell ref="B158:B160"/>
    <mergeCell ref="A142:A144"/>
    <mergeCell ref="B142:B144"/>
    <mergeCell ref="A146:A148"/>
    <mergeCell ref="B146:B148"/>
    <mergeCell ref="A150:A152"/>
    <mergeCell ref="B150:B152"/>
    <mergeCell ref="A130:A132"/>
    <mergeCell ref="B130:B132"/>
    <mergeCell ref="A134:A136"/>
    <mergeCell ref="B134:B136"/>
    <mergeCell ref="A138:A140"/>
    <mergeCell ref="B138:B140"/>
    <mergeCell ref="A118:A120"/>
    <mergeCell ref="B118:B120"/>
    <mergeCell ref="A122:A124"/>
    <mergeCell ref="B122:B124"/>
    <mergeCell ref="A126:A128"/>
    <mergeCell ref="B126:B128"/>
    <mergeCell ref="A106:A108"/>
    <mergeCell ref="B106:B108"/>
    <mergeCell ref="A110:A112"/>
    <mergeCell ref="B110:B112"/>
    <mergeCell ref="A114:A116"/>
    <mergeCell ref="B114:B116"/>
    <mergeCell ref="D92:J92"/>
    <mergeCell ref="A94:A97"/>
    <mergeCell ref="B94:B97"/>
    <mergeCell ref="D98:J98"/>
    <mergeCell ref="A100:A104"/>
    <mergeCell ref="B100:B104"/>
    <mergeCell ref="A76:A77"/>
    <mergeCell ref="B76:B77"/>
    <mergeCell ref="A79:A85"/>
    <mergeCell ref="B79:B85"/>
    <mergeCell ref="A87:A91"/>
    <mergeCell ref="B87:B91"/>
    <mergeCell ref="A70:A74"/>
    <mergeCell ref="B70:B74"/>
    <mergeCell ref="D2:J2"/>
    <mergeCell ref="A4:A10"/>
    <mergeCell ref="B4:B10"/>
    <mergeCell ref="A12:A19"/>
    <mergeCell ref="B12:B19"/>
    <mergeCell ref="A21:A27"/>
    <mergeCell ref="B21:B27"/>
    <mergeCell ref="A29:A33"/>
    <mergeCell ref="B29:B33"/>
    <mergeCell ref="D34:J34"/>
    <mergeCell ref="D49:J49"/>
    <mergeCell ref="D68:J68"/>
  </mergeCells>
  <pageMargins left="0.7" right="0.7" top="0.75" bottom="0.75" header="0.3" footer="0.3"/>
  <pageSetup paperSize="9" scale="61" orientation="portrait" horizontalDpi="4294967293" verticalDpi="4294967293" r:id="rId1"/>
  <rowBreaks count="2" manualBreakCount="2">
    <brk id="48" max="16383" man="1"/>
    <brk id="104" max="16"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54C42-0642-43E7-96AD-959EAAC11567}">
  <dimension ref="A1:V162"/>
  <sheetViews>
    <sheetView view="pageBreakPreview" zoomScaleNormal="100" zoomScaleSheetLayoutView="100" workbookViewId="0">
      <selection activeCell="C2" sqref="C2"/>
    </sheetView>
  </sheetViews>
  <sheetFormatPr defaultRowHeight="16.5" x14ac:dyDescent="0.3"/>
  <cols>
    <col min="1" max="1" width="6" style="26" bestFit="1" customWidth="1"/>
    <col min="2" max="3" width="10.375" style="26" customWidth="1"/>
    <col min="4" max="4" width="59.875" style="26" customWidth="1"/>
    <col min="5" max="5" width="17.5" style="26" bestFit="1" customWidth="1"/>
    <col min="6" max="7" width="9" style="26"/>
    <col min="8" max="8" width="12.75" style="27" customWidth="1"/>
    <col min="9" max="9" width="10.625" style="31" customWidth="1"/>
    <col min="10" max="10" width="11.625" style="31" customWidth="1"/>
    <col min="11" max="11" width="1.625" style="31" customWidth="1"/>
    <col min="12" max="14" width="10.625" style="34" customWidth="1"/>
    <col min="15" max="15" width="1.625" style="31" customWidth="1"/>
    <col min="16" max="18" width="10.625" style="31" customWidth="1"/>
    <col min="19" max="19" width="1.625" style="31" customWidth="1"/>
    <col min="20" max="22" width="10.625" style="31" customWidth="1"/>
    <col min="23" max="16384" width="9" style="26"/>
  </cols>
  <sheetData>
    <row r="1" spans="1:22" ht="33" x14ac:dyDescent="0.3">
      <c r="A1" s="1" t="s">
        <v>0</v>
      </c>
      <c r="B1" s="1" t="s">
        <v>31</v>
      </c>
      <c r="C1" s="1" t="s">
        <v>100</v>
      </c>
      <c r="D1" s="2" t="s">
        <v>39</v>
      </c>
      <c r="E1" s="17" t="s">
        <v>38</v>
      </c>
      <c r="F1" s="1" t="s">
        <v>1</v>
      </c>
      <c r="G1" s="1" t="s">
        <v>2</v>
      </c>
      <c r="H1" s="18" t="s">
        <v>46</v>
      </c>
      <c r="I1" s="28" t="s">
        <v>3</v>
      </c>
      <c r="J1" s="28" t="s">
        <v>4</v>
      </c>
      <c r="L1" s="33" t="s">
        <v>94</v>
      </c>
      <c r="M1" s="33" t="s">
        <v>95</v>
      </c>
      <c r="N1" s="33" t="s">
        <v>96</v>
      </c>
      <c r="P1" s="28" t="s">
        <v>91</v>
      </c>
      <c r="Q1" s="28" t="s">
        <v>92</v>
      </c>
      <c r="R1" s="28" t="s">
        <v>93</v>
      </c>
      <c r="T1" s="28" t="s">
        <v>97</v>
      </c>
      <c r="U1" s="28" t="s">
        <v>98</v>
      </c>
      <c r="V1" s="28" t="s">
        <v>99</v>
      </c>
    </row>
    <row r="2" spans="1:22" x14ac:dyDescent="0.3">
      <c r="A2" s="10">
        <v>1</v>
      </c>
      <c r="B2" s="11"/>
      <c r="C2" s="11"/>
      <c r="D2" s="40" t="s">
        <v>5</v>
      </c>
      <c r="E2" s="41"/>
      <c r="F2" s="41"/>
      <c r="G2" s="41"/>
      <c r="H2" s="41"/>
      <c r="I2" s="41"/>
      <c r="J2" s="41"/>
    </row>
    <row r="3" spans="1:22" ht="63" x14ac:dyDescent="0.3">
      <c r="A3" s="20">
        <f>A2+0.01</f>
        <v>1.01</v>
      </c>
      <c r="B3" s="20" t="s">
        <v>32</v>
      </c>
      <c r="C3" s="20"/>
      <c r="D3" s="21" t="s">
        <v>6</v>
      </c>
      <c r="E3" s="22"/>
      <c r="F3" s="23">
        <v>472</v>
      </c>
      <c r="G3" s="23" t="s">
        <v>7</v>
      </c>
      <c r="H3" s="24"/>
      <c r="I3" s="29">
        <v>108</v>
      </c>
      <c r="J3" s="29">
        <f>I3*F3</f>
        <v>50976</v>
      </c>
      <c r="L3" s="35">
        <f>P3/F3</f>
        <v>0.46080508474576271</v>
      </c>
      <c r="M3" s="35">
        <f>Q3/F3</f>
        <v>0.13050847457627118</v>
      </c>
      <c r="N3" s="35">
        <f>R3/F3</f>
        <v>0.591313559322034</v>
      </c>
      <c r="P3" s="29">
        <f>T3/I3</f>
        <v>217.5</v>
      </c>
      <c r="Q3" s="29">
        <f>U3/I3</f>
        <v>61.599999999999994</v>
      </c>
      <c r="R3" s="29">
        <f>P3+Q3</f>
        <v>279.10000000000002</v>
      </c>
      <c r="T3" s="29">
        <f>SUM(T4:T10)</f>
        <v>23490</v>
      </c>
      <c r="U3" s="29">
        <f t="shared" ref="U3:V3" si="0">SUM(U4:U10)</f>
        <v>6652.7999999999993</v>
      </c>
      <c r="V3" s="29">
        <f t="shared" si="0"/>
        <v>20833.2</v>
      </c>
    </row>
    <row r="4" spans="1:22" x14ac:dyDescent="0.3">
      <c r="A4" s="38"/>
      <c r="B4" s="38"/>
      <c r="C4" s="9"/>
      <c r="D4" s="12"/>
      <c r="E4" s="14" t="s">
        <v>41</v>
      </c>
      <c r="F4" s="15">
        <f t="shared" ref="F4:F10" si="1">F3</f>
        <v>472</v>
      </c>
      <c r="G4" s="15" t="s">
        <v>7</v>
      </c>
      <c r="H4" s="16">
        <v>0.3</v>
      </c>
      <c r="I4" s="30">
        <f>H4*$I$3</f>
        <v>32.4</v>
      </c>
      <c r="J4" s="30">
        <f>F4*I4</f>
        <v>15292.8</v>
      </c>
      <c r="L4" s="36"/>
      <c r="M4" s="37"/>
      <c r="N4" s="36"/>
      <c r="P4" s="30">
        <v>400</v>
      </c>
      <c r="Q4" s="32">
        <v>72</v>
      </c>
      <c r="R4" s="30">
        <f>F4-P4-Q4</f>
        <v>0</v>
      </c>
      <c r="T4" s="30">
        <f>I4*P4</f>
        <v>12960</v>
      </c>
      <c r="U4" s="30">
        <f>Q4*I4</f>
        <v>2332.7999999999997</v>
      </c>
      <c r="V4" s="30">
        <f>J4-T4-U4</f>
        <v>0</v>
      </c>
    </row>
    <row r="5" spans="1:22" x14ac:dyDescent="0.3">
      <c r="A5" s="38"/>
      <c r="B5" s="38"/>
      <c r="C5" s="9"/>
      <c r="D5" s="12"/>
      <c r="E5" s="14" t="s">
        <v>42</v>
      </c>
      <c r="F5" s="15">
        <f t="shared" si="1"/>
        <v>472</v>
      </c>
      <c r="G5" s="15" t="s">
        <v>7</v>
      </c>
      <c r="H5" s="16">
        <v>0.15</v>
      </c>
      <c r="I5" s="30">
        <f t="shared" ref="I5:I10" si="2">H5*$I$3</f>
        <v>16.2</v>
      </c>
      <c r="J5" s="30">
        <f t="shared" ref="J5:J10" si="3">F5*I5</f>
        <v>7646.4</v>
      </c>
      <c r="L5" s="36"/>
      <c r="M5" s="37"/>
      <c r="N5" s="36"/>
      <c r="P5" s="30">
        <v>300</v>
      </c>
      <c r="Q5" s="32">
        <v>100</v>
      </c>
      <c r="R5" s="30">
        <f t="shared" ref="R5:R10" si="4">F5-P5-Q5</f>
        <v>72</v>
      </c>
      <c r="T5" s="30">
        <f t="shared" ref="T5:T10" si="5">I5*P5</f>
        <v>4860</v>
      </c>
      <c r="U5" s="30">
        <f t="shared" ref="U5:U10" si="6">Q5*I5</f>
        <v>1620</v>
      </c>
      <c r="V5" s="30">
        <f t="shared" ref="V5:V10" si="7">J5-T5-U5</f>
        <v>1166.3999999999996</v>
      </c>
    </row>
    <row r="6" spans="1:22" x14ac:dyDescent="0.3">
      <c r="A6" s="38"/>
      <c r="B6" s="38"/>
      <c r="C6" s="9"/>
      <c r="D6" s="12"/>
      <c r="E6" s="14" t="s">
        <v>47</v>
      </c>
      <c r="F6" s="15">
        <f t="shared" si="1"/>
        <v>472</v>
      </c>
      <c r="G6" s="15" t="s">
        <v>7</v>
      </c>
      <c r="H6" s="16">
        <v>0.1</v>
      </c>
      <c r="I6" s="30">
        <f t="shared" si="2"/>
        <v>10.8</v>
      </c>
      <c r="J6" s="30">
        <f t="shared" si="3"/>
        <v>5097.6000000000004</v>
      </c>
      <c r="L6" s="36"/>
      <c r="M6" s="37"/>
      <c r="N6" s="36"/>
      <c r="P6" s="30">
        <v>300</v>
      </c>
      <c r="Q6" s="32">
        <v>100</v>
      </c>
      <c r="R6" s="30">
        <f t="shared" si="4"/>
        <v>72</v>
      </c>
      <c r="T6" s="30">
        <f t="shared" si="5"/>
        <v>3240</v>
      </c>
      <c r="U6" s="30">
        <f t="shared" si="6"/>
        <v>1080</v>
      </c>
      <c r="V6" s="30">
        <f t="shared" si="7"/>
        <v>777.60000000000036</v>
      </c>
    </row>
    <row r="7" spans="1:22" x14ac:dyDescent="0.3">
      <c r="A7" s="38"/>
      <c r="B7" s="38"/>
      <c r="C7" s="9"/>
      <c r="D7" s="12"/>
      <c r="E7" s="14" t="s">
        <v>43</v>
      </c>
      <c r="F7" s="15">
        <f t="shared" si="1"/>
        <v>472</v>
      </c>
      <c r="G7" s="15" t="s">
        <v>7</v>
      </c>
      <c r="H7" s="16">
        <v>0.15</v>
      </c>
      <c r="I7" s="30">
        <f t="shared" si="2"/>
        <v>16.2</v>
      </c>
      <c r="J7" s="30">
        <f t="shared" si="3"/>
        <v>7646.4</v>
      </c>
      <c r="L7" s="36"/>
      <c r="M7" s="37"/>
      <c r="N7" s="36"/>
      <c r="P7" s="30">
        <v>150</v>
      </c>
      <c r="Q7" s="32">
        <v>100</v>
      </c>
      <c r="R7" s="30">
        <f t="shared" si="4"/>
        <v>222</v>
      </c>
      <c r="T7" s="30">
        <f t="shared" si="5"/>
        <v>2430</v>
      </c>
      <c r="U7" s="30">
        <f t="shared" si="6"/>
        <v>1620</v>
      </c>
      <c r="V7" s="30">
        <f t="shared" si="7"/>
        <v>3596.3999999999996</v>
      </c>
    </row>
    <row r="8" spans="1:22" x14ac:dyDescent="0.3">
      <c r="A8" s="38"/>
      <c r="B8" s="38"/>
      <c r="C8" s="9"/>
      <c r="D8" s="12"/>
      <c r="E8" s="14" t="s">
        <v>44</v>
      </c>
      <c r="F8" s="15">
        <f t="shared" si="1"/>
        <v>472</v>
      </c>
      <c r="G8" s="15" t="s">
        <v>7</v>
      </c>
      <c r="H8" s="16">
        <v>0.15</v>
      </c>
      <c r="I8" s="30">
        <f t="shared" si="2"/>
        <v>16.2</v>
      </c>
      <c r="J8" s="30">
        <f t="shared" si="3"/>
        <v>7646.4</v>
      </c>
      <c r="L8" s="36"/>
      <c r="M8" s="37"/>
      <c r="N8" s="36"/>
      <c r="P8" s="30">
        <v>0</v>
      </c>
      <c r="Q8" s="32"/>
      <c r="R8" s="30">
        <f t="shared" si="4"/>
        <v>472</v>
      </c>
      <c r="T8" s="30">
        <f t="shared" si="5"/>
        <v>0</v>
      </c>
      <c r="U8" s="30">
        <f t="shared" si="6"/>
        <v>0</v>
      </c>
      <c r="V8" s="30">
        <f t="shared" si="7"/>
        <v>7646.4</v>
      </c>
    </row>
    <row r="9" spans="1:22" x14ac:dyDescent="0.3">
      <c r="A9" s="38"/>
      <c r="B9" s="38"/>
      <c r="C9" s="9"/>
      <c r="D9" s="12"/>
      <c r="E9" s="14" t="s">
        <v>45</v>
      </c>
      <c r="F9" s="15">
        <f t="shared" si="1"/>
        <v>472</v>
      </c>
      <c r="G9" s="15" t="s">
        <v>7</v>
      </c>
      <c r="H9" s="16">
        <v>0.1</v>
      </c>
      <c r="I9" s="30">
        <f t="shared" si="2"/>
        <v>10.8</v>
      </c>
      <c r="J9" s="30">
        <f t="shared" si="3"/>
        <v>5097.6000000000004</v>
      </c>
      <c r="L9" s="36"/>
      <c r="M9" s="37"/>
      <c r="N9" s="36"/>
      <c r="P9" s="30">
        <v>0</v>
      </c>
      <c r="Q9" s="32"/>
      <c r="R9" s="30">
        <f t="shared" si="4"/>
        <v>472</v>
      </c>
      <c r="T9" s="30">
        <f t="shared" si="5"/>
        <v>0</v>
      </c>
      <c r="U9" s="30">
        <f t="shared" si="6"/>
        <v>0</v>
      </c>
      <c r="V9" s="30">
        <f t="shared" si="7"/>
        <v>5097.6000000000004</v>
      </c>
    </row>
    <row r="10" spans="1:22" x14ac:dyDescent="0.3">
      <c r="A10" s="39"/>
      <c r="B10" s="39"/>
      <c r="C10" s="6"/>
      <c r="D10" s="13"/>
      <c r="E10" s="14" t="s">
        <v>40</v>
      </c>
      <c r="F10" s="15">
        <f t="shared" si="1"/>
        <v>472</v>
      </c>
      <c r="G10" s="15" t="s">
        <v>7</v>
      </c>
      <c r="H10" s="16">
        <v>0.05</v>
      </c>
      <c r="I10" s="30">
        <f t="shared" si="2"/>
        <v>5.4</v>
      </c>
      <c r="J10" s="30">
        <f t="shared" si="3"/>
        <v>2548.8000000000002</v>
      </c>
      <c r="L10" s="36"/>
      <c r="M10" s="37"/>
      <c r="N10" s="36"/>
      <c r="P10" s="30">
        <v>0</v>
      </c>
      <c r="Q10" s="32"/>
      <c r="R10" s="30">
        <f t="shared" si="4"/>
        <v>472</v>
      </c>
      <c r="T10" s="30">
        <f t="shared" si="5"/>
        <v>0</v>
      </c>
      <c r="U10" s="30">
        <f t="shared" si="6"/>
        <v>0</v>
      </c>
      <c r="V10" s="30">
        <f t="shared" si="7"/>
        <v>2548.8000000000002</v>
      </c>
    </row>
    <row r="11" spans="1:22" ht="63" x14ac:dyDescent="0.3">
      <c r="A11" s="20">
        <f>A3+0.01</f>
        <v>1.02</v>
      </c>
      <c r="B11" s="20" t="s">
        <v>32</v>
      </c>
      <c r="C11" s="20"/>
      <c r="D11" s="21" t="s">
        <v>8</v>
      </c>
      <c r="E11" s="22"/>
      <c r="F11" s="23">
        <v>72</v>
      </c>
      <c r="G11" s="23" t="s">
        <v>7</v>
      </c>
      <c r="H11" s="24"/>
      <c r="I11" s="29">
        <v>210</v>
      </c>
      <c r="J11" s="29">
        <f t="shared" ref="J11:J28" si="8">I11*F11</f>
        <v>15120</v>
      </c>
      <c r="L11" s="35"/>
      <c r="M11" s="35"/>
      <c r="N11" s="35"/>
      <c r="P11" s="29"/>
      <c r="Q11" s="29"/>
      <c r="R11" s="29"/>
      <c r="T11" s="29"/>
      <c r="U11" s="29"/>
      <c r="V11" s="29"/>
    </row>
    <row r="12" spans="1:22" x14ac:dyDescent="0.3">
      <c r="A12" s="38"/>
      <c r="B12" s="38"/>
      <c r="C12" s="9"/>
      <c r="D12" s="12"/>
      <c r="E12" s="14" t="s">
        <v>41</v>
      </c>
      <c r="F12" s="15">
        <f t="shared" ref="F12:F19" si="9">F11</f>
        <v>72</v>
      </c>
      <c r="G12" s="15" t="s">
        <v>7</v>
      </c>
      <c r="H12" s="16">
        <v>0.15</v>
      </c>
      <c r="I12" s="30">
        <f>H12*$I$11</f>
        <v>31.5</v>
      </c>
      <c r="J12" s="30">
        <f>F12*I12</f>
        <v>2268</v>
      </c>
      <c r="L12" s="36"/>
      <c r="M12" s="37"/>
      <c r="N12" s="36"/>
      <c r="P12" s="30"/>
      <c r="Q12" s="32"/>
      <c r="R12" s="30"/>
      <c r="T12" s="30"/>
      <c r="U12" s="30"/>
      <c r="V12" s="30"/>
    </row>
    <row r="13" spans="1:22" x14ac:dyDescent="0.3">
      <c r="A13" s="38"/>
      <c r="B13" s="38"/>
      <c r="C13" s="9"/>
      <c r="D13" s="12"/>
      <c r="E13" s="14" t="s">
        <v>48</v>
      </c>
      <c r="F13" s="15">
        <f t="shared" si="9"/>
        <v>72</v>
      </c>
      <c r="G13" s="15" t="s">
        <v>7</v>
      </c>
      <c r="H13" s="16">
        <v>0.15</v>
      </c>
      <c r="I13" s="30">
        <f>H13*$I$11</f>
        <v>31.5</v>
      </c>
      <c r="J13" s="30">
        <f>F13*I13</f>
        <v>2268</v>
      </c>
      <c r="L13" s="36"/>
      <c r="M13" s="37"/>
      <c r="N13" s="36"/>
      <c r="P13" s="30"/>
      <c r="Q13" s="32"/>
      <c r="R13" s="30"/>
      <c r="T13" s="30"/>
      <c r="U13" s="30"/>
      <c r="V13" s="30"/>
    </row>
    <row r="14" spans="1:22" x14ac:dyDescent="0.3">
      <c r="A14" s="38"/>
      <c r="B14" s="38"/>
      <c r="C14" s="9"/>
      <c r="D14" s="12"/>
      <c r="E14" s="14" t="s">
        <v>42</v>
      </c>
      <c r="F14" s="15">
        <f t="shared" si="9"/>
        <v>72</v>
      </c>
      <c r="G14" s="15" t="s">
        <v>7</v>
      </c>
      <c r="H14" s="16">
        <v>0.15</v>
      </c>
      <c r="I14" s="30">
        <f t="shared" ref="I14:I19" si="10">H14*$I$11</f>
        <v>31.5</v>
      </c>
      <c r="J14" s="30">
        <f t="shared" ref="J14:J19" si="11">F14*I14</f>
        <v>2268</v>
      </c>
      <c r="L14" s="36"/>
      <c r="M14" s="37"/>
      <c r="N14" s="36"/>
      <c r="P14" s="30"/>
      <c r="Q14" s="32"/>
      <c r="R14" s="30"/>
      <c r="T14" s="30"/>
      <c r="U14" s="30"/>
      <c r="V14" s="30"/>
    </row>
    <row r="15" spans="1:22" x14ac:dyDescent="0.3">
      <c r="A15" s="38"/>
      <c r="B15" s="38"/>
      <c r="C15" s="9"/>
      <c r="D15" s="12"/>
      <c r="E15" s="14" t="s">
        <v>47</v>
      </c>
      <c r="F15" s="15">
        <f t="shared" si="9"/>
        <v>72</v>
      </c>
      <c r="G15" s="15" t="s">
        <v>7</v>
      </c>
      <c r="H15" s="16">
        <v>0.1</v>
      </c>
      <c r="I15" s="30">
        <f t="shared" si="10"/>
        <v>21</v>
      </c>
      <c r="J15" s="30">
        <f t="shared" si="11"/>
        <v>1512</v>
      </c>
      <c r="L15" s="36"/>
      <c r="M15" s="37"/>
      <c r="N15" s="36"/>
      <c r="P15" s="30"/>
      <c r="Q15" s="32"/>
      <c r="R15" s="30"/>
      <c r="T15" s="30"/>
      <c r="U15" s="30"/>
      <c r="V15" s="30"/>
    </row>
    <row r="16" spans="1:22" x14ac:dyDescent="0.3">
      <c r="A16" s="38"/>
      <c r="B16" s="38"/>
      <c r="C16" s="9"/>
      <c r="D16" s="12"/>
      <c r="E16" s="14" t="s">
        <v>43</v>
      </c>
      <c r="F16" s="15">
        <f t="shared" si="9"/>
        <v>72</v>
      </c>
      <c r="G16" s="15" t="s">
        <v>7</v>
      </c>
      <c r="H16" s="16">
        <v>0.15</v>
      </c>
      <c r="I16" s="30">
        <f t="shared" si="10"/>
        <v>31.5</v>
      </c>
      <c r="J16" s="30">
        <f t="shared" si="11"/>
        <v>2268</v>
      </c>
      <c r="L16" s="36"/>
      <c r="M16" s="37"/>
      <c r="N16" s="36"/>
      <c r="P16" s="30"/>
      <c r="Q16" s="32"/>
      <c r="R16" s="30"/>
      <c r="T16" s="30"/>
      <c r="U16" s="30"/>
      <c r="V16" s="30"/>
    </row>
    <row r="17" spans="1:22" x14ac:dyDescent="0.3">
      <c r="A17" s="38"/>
      <c r="B17" s="38"/>
      <c r="C17" s="9"/>
      <c r="D17" s="12"/>
      <c r="E17" s="14" t="s">
        <v>44</v>
      </c>
      <c r="F17" s="15">
        <f t="shared" si="9"/>
        <v>72</v>
      </c>
      <c r="G17" s="15" t="s">
        <v>7</v>
      </c>
      <c r="H17" s="16">
        <v>0.15</v>
      </c>
      <c r="I17" s="30">
        <f t="shared" si="10"/>
        <v>31.5</v>
      </c>
      <c r="J17" s="30">
        <f t="shared" si="11"/>
        <v>2268</v>
      </c>
      <c r="L17" s="36"/>
      <c r="M17" s="37"/>
      <c r="N17" s="36"/>
      <c r="P17" s="30"/>
      <c r="Q17" s="32"/>
      <c r="R17" s="30"/>
      <c r="T17" s="30"/>
      <c r="U17" s="30"/>
      <c r="V17" s="30"/>
    </row>
    <row r="18" spans="1:22" x14ac:dyDescent="0.3">
      <c r="A18" s="38"/>
      <c r="B18" s="38"/>
      <c r="C18" s="9"/>
      <c r="D18" s="12"/>
      <c r="E18" s="14" t="s">
        <v>45</v>
      </c>
      <c r="F18" s="15">
        <f t="shared" si="9"/>
        <v>72</v>
      </c>
      <c r="G18" s="15" t="s">
        <v>7</v>
      </c>
      <c r="H18" s="16">
        <v>0.1</v>
      </c>
      <c r="I18" s="30">
        <f t="shared" si="10"/>
        <v>21</v>
      </c>
      <c r="J18" s="30">
        <f t="shared" si="11"/>
        <v>1512</v>
      </c>
      <c r="L18" s="36"/>
      <c r="M18" s="37"/>
      <c r="N18" s="36"/>
      <c r="P18" s="30"/>
      <c r="Q18" s="32"/>
      <c r="R18" s="30"/>
      <c r="T18" s="30"/>
      <c r="U18" s="30"/>
      <c r="V18" s="30"/>
    </row>
    <row r="19" spans="1:22" x14ac:dyDescent="0.3">
      <c r="A19" s="39"/>
      <c r="B19" s="39"/>
      <c r="C19" s="6"/>
      <c r="D19" s="13"/>
      <c r="E19" s="14" t="s">
        <v>40</v>
      </c>
      <c r="F19" s="15">
        <f t="shared" si="9"/>
        <v>72</v>
      </c>
      <c r="G19" s="15" t="s">
        <v>7</v>
      </c>
      <c r="H19" s="16">
        <v>0.05</v>
      </c>
      <c r="I19" s="30">
        <f t="shared" si="10"/>
        <v>10.5</v>
      </c>
      <c r="J19" s="30">
        <f t="shared" si="11"/>
        <v>756</v>
      </c>
      <c r="L19" s="36"/>
      <c r="M19" s="37"/>
      <c r="N19" s="36"/>
      <c r="P19" s="30"/>
      <c r="Q19" s="32"/>
      <c r="R19" s="30"/>
      <c r="T19" s="30"/>
      <c r="U19" s="30"/>
      <c r="V19" s="30"/>
    </row>
    <row r="20" spans="1:22" ht="63" x14ac:dyDescent="0.3">
      <c r="A20" s="20">
        <f>A11+0.01</f>
        <v>1.03</v>
      </c>
      <c r="B20" s="20" t="s">
        <v>32</v>
      </c>
      <c r="C20" s="20"/>
      <c r="D20" s="21" t="s">
        <v>9</v>
      </c>
      <c r="E20" s="22"/>
      <c r="F20" s="23">
        <v>13.2</v>
      </c>
      <c r="G20" s="23" t="s">
        <v>7</v>
      </c>
      <c r="H20" s="24"/>
      <c r="I20" s="29">
        <v>110</v>
      </c>
      <c r="J20" s="29">
        <f t="shared" si="8"/>
        <v>1452</v>
      </c>
      <c r="L20" s="35"/>
      <c r="M20" s="35"/>
      <c r="N20" s="35"/>
      <c r="P20" s="29"/>
      <c r="Q20" s="29"/>
      <c r="R20" s="29"/>
      <c r="T20" s="29"/>
      <c r="U20" s="29"/>
      <c r="V20" s="29"/>
    </row>
    <row r="21" spans="1:22" x14ac:dyDescent="0.3">
      <c r="A21" s="38"/>
      <c r="B21" s="38"/>
      <c r="C21" s="9"/>
      <c r="D21" s="12"/>
      <c r="E21" s="14" t="s">
        <v>41</v>
      </c>
      <c r="F21" s="15">
        <f t="shared" ref="F21:F27" si="12">F20</f>
        <v>13.2</v>
      </c>
      <c r="G21" s="15" t="s">
        <v>7</v>
      </c>
      <c r="H21" s="16">
        <v>0.3</v>
      </c>
      <c r="I21" s="30">
        <f>H21*$I$20</f>
        <v>33</v>
      </c>
      <c r="J21" s="30">
        <f>F21*I21</f>
        <v>435.59999999999997</v>
      </c>
      <c r="L21" s="36"/>
      <c r="M21" s="37"/>
      <c r="N21" s="36"/>
      <c r="P21" s="30"/>
      <c r="Q21" s="32"/>
      <c r="R21" s="30"/>
      <c r="T21" s="30"/>
      <c r="U21" s="30"/>
      <c r="V21" s="30"/>
    </row>
    <row r="22" spans="1:22" x14ac:dyDescent="0.3">
      <c r="A22" s="38"/>
      <c r="B22" s="38"/>
      <c r="C22" s="9"/>
      <c r="D22" s="12"/>
      <c r="E22" s="14" t="s">
        <v>42</v>
      </c>
      <c r="F22" s="15">
        <f t="shared" si="12"/>
        <v>13.2</v>
      </c>
      <c r="G22" s="15" t="s">
        <v>7</v>
      </c>
      <c r="H22" s="16">
        <v>0.15</v>
      </c>
      <c r="I22" s="30">
        <f t="shared" ref="I22:I27" si="13">H22*$I$20</f>
        <v>16.5</v>
      </c>
      <c r="J22" s="30">
        <f t="shared" ref="J22:J27" si="14">F22*I22</f>
        <v>217.79999999999998</v>
      </c>
      <c r="L22" s="36"/>
      <c r="M22" s="37"/>
      <c r="N22" s="36"/>
      <c r="P22" s="30"/>
      <c r="Q22" s="32"/>
      <c r="R22" s="30"/>
      <c r="T22" s="30"/>
      <c r="U22" s="30"/>
      <c r="V22" s="30"/>
    </row>
    <row r="23" spans="1:22" x14ac:dyDescent="0.3">
      <c r="A23" s="38"/>
      <c r="B23" s="38"/>
      <c r="C23" s="9"/>
      <c r="D23" s="12"/>
      <c r="E23" s="14" t="s">
        <v>47</v>
      </c>
      <c r="F23" s="15">
        <f t="shared" si="12"/>
        <v>13.2</v>
      </c>
      <c r="G23" s="15" t="s">
        <v>7</v>
      </c>
      <c r="H23" s="16">
        <v>0.1</v>
      </c>
      <c r="I23" s="30">
        <f t="shared" si="13"/>
        <v>11</v>
      </c>
      <c r="J23" s="30">
        <f t="shared" si="14"/>
        <v>145.19999999999999</v>
      </c>
      <c r="L23" s="36"/>
      <c r="M23" s="37"/>
      <c r="N23" s="36"/>
      <c r="P23" s="30"/>
      <c r="Q23" s="32"/>
      <c r="R23" s="30"/>
      <c r="T23" s="30"/>
      <c r="U23" s="30"/>
      <c r="V23" s="30"/>
    </row>
    <row r="24" spans="1:22" x14ac:dyDescent="0.3">
      <c r="A24" s="38"/>
      <c r="B24" s="38"/>
      <c r="C24" s="9"/>
      <c r="D24" s="12"/>
      <c r="E24" s="14" t="s">
        <v>43</v>
      </c>
      <c r="F24" s="15">
        <f t="shared" si="12"/>
        <v>13.2</v>
      </c>
      <c r="G24" s="15" t="s">
        <v>7</v>
      </c>
      <c r="H24" s="16">
        <v>0.15</v>
      </c>
      <c r="I24" s="30">
        <f t="shared" si="13"/>
        <v>16.5</v>
      </c>
      <c r="J24" s="30">
        <f t="shared" si="14"/>
        <v>217.79999999999998</v>
      </c>
      <c r="L24" s="36"/>
      <c r="M24" s="37"/>
      <c r="N24" s="36"/>
      <c r="P24" s="30"/>
      <c r="Q24" s="32"/>
      <c r="R24" s="30"/>
      <c r="T24" s="30"/>
      <c r="U24" s="30"/>
      <c r="V24" s="30"/>
    </row>
    <row r="25" spans="1:22" x14ac:dyDescent="0.3">
      <c r="A25" s="38"/>
      <c r="B25" s="38"/>
      <c r="C25" s="9"/>
      <c r="D25" s="12"/>
      <c r="E25" s="14" t="s">
        <v>44</v>
      </c>
      <c r="F25" s="15">
        <f t="shared" si="12"/>
        <v>13.2</v>
      </c>
      <c r="G25" s="15" t="s">
        <v>7</v>
      </c>
      <c r="H25" s="16">
        <v>0.15</v>
      </c>
      <c r="I25" s="30">
        <f t="shared" si="13"/>
        <v>16.5</v>
      </c>
      <c r="J25" s="30">
        <f t="shared" si="14"/>
        <v>217.79999999999998</v>
      </c>
      <c r="L25" s="36"/>
      <c r="M25" s="37"/>
      <c r="N25" s="36"/>
      <c r="P25" s="30"/>
      <c r="Q25" s="32"/>
      <c r="R25" s="30"/>
      <c r="T25" s="30"/>
      <c r="U25" s="30"/>
      <c r="V25" s="30"/>
    </row>
    <row r="26" spans="1:22" x14ac:dyDescent="0.3">
      <c r="A26" s="38"/>
      <c r="B26" s="38"/>
      <c r="C26" s="9"/>
      <c r="D26" s="12"/>
      <c r="E26" s="14" t="s">
        <v>45</v>
      </c>
      <c r="F26" s="15">
        <f t="shared" si="12"/>
        <v>13.2</v>
      </c>
      <c r="G26" s="15" t="s">
        <v>7</v>
      </c>
      <c r="H26" s="16">
        <v>0.1</v>
      </c>
      <c r="I26" s="30">
        <f t="shared" si="13"/>
        <v>11</v>
      </c>
      <c r="J26" s="30">
        <f t="shared" si="14"/>
        <v>145.19999999999999</v>
      </c>
      <c r="L26" s="36"/>
      <c r="M26" s="37"/>
      <c r="N26" s="36"/>
      <c r="P26" s="30"/>
      <c r="Q26" s="32"/>
      <c r="R26" s="30"/>
      <c r="T26" s="30"/>
      <c r="U26" s="30"/>
      <c r="V26" s="30"/>
    </row>
    <row r="27" spans="1:22" x14ac:dyDescent="0.3">
      <c r="A27" s="39"/>
      <c r="B27" s="39"/>
      <c r="C27" s="6"/>
      <c r="D27" s="13"/>
      <c r="E27" s="14" t="s">
        <v>40</v>
      </c>
      <c r="F27" s="15">
        <f t="shared" si="12"/>
        <v>13.2</v>
      </c>
      <c r="G27" s="15" t="s">
        <v>7</v>
      </c>
      <c r="H27" s="16">
        <v>0.05</v>
      </c>
      <c r="I27" s="30">
        <f t="shared" si="13"/>
        <v>5.5</v>
      </c>
      <c r="J27" s="30">
        <f t="shared" si="14"/>
        <v>72.599999999999994</v>
      </c>
      <c r="L27" s="36"/>
      <c r="M27" s="37"/>
      <c r="N27" s="36"/>
      <c r="P27" s="30"/>
      <c r="Q27" s="32"/>
      <c r="R27" s="30"/>
      <c r="T27" s="30"/>
      <c r="U27" s="30"/>
      <c r="V27" s="30"/>
    </row>
    <row r="28" spans="1:22" ht="63" x14ac:dyDescent="0.3">
      <c r="A28" s="20">
        <f t="shared" ref="A28" si="15">A20+0.01</f>
        <v>1.04</v>
      </c>
      <c r="B28" s="20" t="s">
        <v>32</v>
      </c>
      <c r="C28" s="20"/>
      <c r="D28" s="21" t="s">
        <v>10</v>
      </c>
      <c r="E28" s="22"/>
      <c r="F28" s="23">
        <v>188</v>
      </c>
      <c r="G28" s="23" t="s">
        <v>7</v>
      </c>
      <c r="H28" s="24"/>
      <c r="I28" s="29">
        <v>95</v>
      </c>
      <c r="J28" s="29">
        <f t="shared" si="8"/>
        <v>17860</v>
      </c>
      <c r="L28" s="35"/>
      <c r="M28" s="35"/>
      <c r="N28" s="35"/>
      <c r="P28" s="29"/>
      <c r="Q28" s="29"/>
      <c r="R28" s="29"/>
      <c r="T28" s="29"/>
      <c r="U28" s="29"/>
      <c r="V28" s="29"/>
    </row>
    <row r="29" spans="1:22" x14ac:dyDescent="0.3">
      <c r="A29" s="38"/>
      <c r="B29" s="38"/>
      <c r="C29" s="9"/>
      <c r="D29" s="12"/>
      <c r="E29" s="14" t="s">
        <v>41</v>
      </c>
      <c r="F29" s="15">
        <f>F28</f>
        <v>188</v>
      </c>
      <c r="G29" s="15" t="s">
        <v>7</v>
      </c>
      <c r="H29" s="16">
        <v>0.3</v>
      </c>
      <c r="I29" s="30">
        <f>H29*$I$28</f>
        <v>28.5</v>
      </c>
      <c r="J29" s="30">
        <f>F29*I29</f>
        <v>5358</v>
      </c>
      <c r="L29" s="36"/>
      <c r="M29" s="37"/>
      <c r="N29" s="36"/>
      <c r="P29" s="30"/>
      <c r="Q29" s="32"/>
      <c r="R29" s="30"/>
      <c r="T29" s="30"/>
      <c r="U29" s="30"/>
      <c r="V29" s="30"/>
    </row>
    <row r="30" spans="1:22" x14ac:dyDescent="0.3">
      <c r="A30" s="38"/>
      <c r="B30" s="38"/>
      <c r="C30" s="9"/>
      <c r="D30" s="12"/>
      <c r="E30" s="14" t="s">
        <v>42</v>
      </c>
      <c r="F30" s="15">
        <f>F29</f>
        <v>188</v>
      </c>
      <c r="G30" s="15" t="s">
        <v>7</v>
      </c>
      <c r="H30" s="16">
        <v>0.15</v>
      </c>
      <c r="I30" s="30">
        <f>H30*$I$28</f>
        <v>14.25</v>
      </c>
      <c r="J30" s="30">
        <f t="shared" ref="J30:J33" si="16">F30*I30</f>
        <v>2679</v>
      </c>
      <c r="L30" s="36"/>
      <c r="M30" s="37"/>
      <c r="N30" s="36"/>
      <c r="P30" s="30"/>
      <c r="Q30" s="32"/>
      <c r="R30" s="30"/>
      <c r="T30" s="30"/>
      <c r="U30" s="30"/>
      <c r="V30" s="30"/>
    </row>
    <row r="31" spans="1:22" x14ac:dyDescent="0.3">
      <c r="A31" s="38"/>
      <c r="B31" s="38"/>
      <c r="C31" s="9"/>
      <c r="D31" s="12"/>
      <c r="E31" s="14" t="s">
        <v>44</v>
      </c>
      <c r="F31" s="15">
        <f>F30</f>
        <v>188</v>
      </c>
      <c r="G31" s="15" t="s">
        <v>7</v>
      </c>
      <c r="H31" s="16">
        <v>0.15</v>
      </c>
      <c r="I31" s="30">
        <f>H31*$I$28</f>
        <v>14.25</v>
      </c>
      <c r="J31" s="30">
        <f t="shared" si="16"/>
        <v>2679</v>
      </c>
      <c r="L31" s="36"/>
      <c r="M31" s="37"/>
      <c r="N31" s="36"/>
      <c r="P31" s="30"/>
      <c r="Q31" s="32"/>
      <c r="R31" s="30"/>
      <c r="T31" s="30"/>
      <c r="U31" s="30"/>
      <c r="V31" s="30"/>
    </row>
    <row r="32" spans="1:22" x14ac:dyDescent="0.3">
      <c r="A32" s="38"/>
      <c r="B32" s="38"/>
      <c r="C32" s="9"/>
      <c r="D32" s="12"/>
      <c r="E32" s="14" t="s">
        <v>45</v>
      </c>
      <c r="F32" s="15">
        <f>F31</f>
        <v>188</v>
      </c>
      <c r="G32" s="15" t="s">
        <v>7</v>
      </c>
      <c r="H32" s="16">
        <v>0.1</v>
      </c>
      <c r="I32" s="30">
        <f>H32*$I$28</f>
        <v>9.5</v>
      </c>
      <c r="J32" s="30">
        <f t="shared" si="16"/>
        <v>1786</v>
      </c>
      <c r="L32" s="36"/>
      <c r="M32" s="37"/>
      <c r="N32" s="36"/>
      <c r="P32" s="30"/>
      <c r="Q32" s="32"/>
      <c r="R32" s="30"/>
      <c r="T32" s="30"/>
      <c r="U32" s="30"/>
      <c r="V32" s="30"/>
    </row>
    <row r="33" spans="1:22" x14ac:dyDescent="0.3">
      <c r="A33" s="39"/>
      <c r="B33" s="39"/>
      <c r="C33" s="6"/>
      <c r="D33" s="13"/>
      <c r="E33" s="14" t="s">
        <v>40</v>
      </c>
      <c r="F33" s="15">
        <f>F32</f>
        <v>188</v>
      </c>
      <c r="G33" s="15" t="s">
        <v>7</v>
      </c>
      <c r="H33" s="16">
        <v>0.05</v>
      </c>
      <c r="I33" s="30">
        <f>H33*$I$28</f>
        <v>4.75</v>
      </c>
      <c r="J33" s="30">
        <f t="shared" si="16"/>
        <v>893</v>
      </c>
      <c r="L33" s="36"/>
      <c r="M33" s="37"/>
      <c r="N33" s="36"/>
      <c r="P33" s="30"/>
      <c r="Q33" s="32"/>
      <c r="R33" s="30"/>
      <c r="T33" s="30"/>
      <c r="U33" s="30"/>
      <c r="V33" s="30"/>
    </row>
    <row r="34" spans="1:22" x14ac:dyDescent="0.3">
      <c r="A34" s="3">
        <v>2</v>
      </c>
      <c r="B34" s="5"/>
      <c r="C34" s="5"/>
      <c r="D34" s="42" t="s">
        <v>11</v>
      </c>
      <c r="E34" s="41"/>
      <c r="F34" s="41"/>
      <c r="G34" s="41"/>
      <c r="H34" s="41"/>
      <c r="I34" s="41"/>
      <c r="J34" s="41"/>
    </row>
    <row r="35" spans="1:22" ht="94.5" x14ac:dyDescent="0.3">
      <c r="A35" s="20">
        <f>A34+0.01</f>
        <v>2.0099999999999998</v>
      </c>
      <c r="B35" s="20" t="s">
        <v>33</v>
      </c>
      <c r="C35" s="20"/>
      <c r="D35" s="21" t="s">
        <v>29</v>
      </c>
      <c r="E35" s="22"/>
      <c r="F35" s="23">
        <v>166</v>
      </c>
      <c r="G35" s="23" t="s">
        <v>7</v>
      </c>
      <c r="H35" s="24"/>
      <c r="I35" s="29">
        <v>140</v>
      </c>
      <c r="J35" s="29">
        <f>I35*F35</f>
        <v>23240</v>
      </c>
      <c r="L35" s="35"/>
      <c r="M35" s="35"/>
      <c r="N35" s="35"/>
      <c r="P35" s="29"/>
      <c r="Q35" s="29"/>
      <c r="R35" s="29"/>
      <c r="T35" s="29"/>
      <c r="U35" s="29"/>
      <c r="V35" s="29"/>
    </row>
    <row r="36" spans="1:22" ht="31.5" x14ac:dyDescent="0.3">
      <c r="A36" s="20">
        <f>A35+0.01</f>
        <v>2.0199999999999996</v>
      </c>
      <c r="B36" s="20" t="s">
        <v>33</v>
      </c>
      <c r="C36" s="20"/>
      <c r="D36" s="21" t="s">
        <v>12</v>
      </c>
      <c r="E36" s="22"/>
      <c r="F36" s="23">
        <v>166</v>
      </c>
      <c r="G36" s="23" t="s">
        <v>7</v>
      </c>
      <c r="H36" s="24"/>
      <c r="I36" s="29">
        <v>80</v>
      </c>
      <c r="J36" s="29">
        <f>I36*F36</f>
        <v>13280</v>
      </c>
      <c r="L36" s="35"/>
      <c r="M36" s="35"/>
      <c r="N36" s="35"/>
      <c r="P36" s="29"/>
      <c r="Q36" s="29"/>
      <c r="R36" s="29"/>
      <c r="T36" s="29"/>
      <c r="U36" s="29"/>
      <c r="V36" s="29"/>
    </row>
    <row r="37" spans="1:22" x14ac:dyDescent="0.3">
      <c r="A37" s="9"/>
      <c r="B37" s="9"/>
      <c r="C37" s="9"/>
      <c r="D37" s="19"/>
      <c r="E37" s="14" t="s">
        <v>49</v>
      </c>
      <c r="F37" s="15">
        <f>F36</f>
        <v>166</v>
      </c>
      <c r="G37" s="15" t="s">
        <v>7</v>
      </c>
      <c r="H37" s="16">
        <v>0.6</v>
      </c>
      <c r="I37" s="30">
        <f>H37*$I$36</f>
        <v>48</v>
      </c>
      <c r="J37" s="30">
        <f>F37*I37</f>
        <v>7968</v>
      </c>
      <c r="L37" s="36"/>
      <c r="M37" s="37"/>
      <c r="N37" s="36"/>
      <c r="P37" s="30"/>
      <c r="Q37" s="32"/>
      <c r="R37" s="30"/>
      <c r="T37" s="30"/>
      <c r="U37" s="30"/>
      <c r="V37" s="30"/>
    </row>
    <row r="38" spans="1:22" x14ac:dyDescent="0.3">
      <c r="A38" s="6"/>
      <c r="B38" s="6"/>
      <c r="C38" s="6"/>
      <c r="D38" s="4"/>
      <c r="E38" s="14" t="s">
        <v>50</v>
      </c>
      <c r="F38" s="15">
        <f>F37</f>
        <v>166</v>
      </c>
      <c r="G38" s="15" t="s">
        <v>7</v>
      </c>
      <c r="H38" s="16">
        <v>0.4</v>
      </c>
      <c r="I38" s="30">
        <f>H38*$I$36</f>
        <v>32</v>
      </c>
      <c r="J38" s="30">
        <f>F38*I38</f>
        <v>5312</v>
      </c>
      <c r="L38" s="36"/>
      <c r="M38" s="37"/>
      <c r="N38" s="36"/>
      <c r="P38" s="30"/>
      <c r="Q38" s="32"/>
      <c r="R38" s="30"/>
      <c r="T38" s="30"/>
      <c r="U38" s="30"/>
      <c r="V38" s="30"/>
    </row>
    <row r="39" spans="1:22" ht="47.25" x14ac:dyDescent="0.3">
      <c r="A39" s="20">
        <f>A36+0.01</f>
        <v>2.0299999999999994</v>
      </c>
      <c r="B39" s="20" t="s">
        <v>33</v>
      </c>
      <c r="C39" s="20"/>
      <c r="D39" s="21" t="s">
        <v>30</v>
      </c>
      <c r="E39" s="22"/>
      <c r="F39" s="23">
        <v>52</v>
      </c>
      <c r="G39" s="23" t="s">
        <v>7</v>
      </c>
      <c r="H39" s="24"/>
      <c r="I39" s="29">
        <v>165</v>
      </c>
      <c r="J39" s="29">
        <f>I39*F39</f>
        <v>8580</v>
      </c>
      <c r="L39" s="35"/>
      <c r="M39" s="35"/>
      <c r="N39" s="35"/>
      <c r="P39" s="29"/>
      <c r="Q39" s="29"/>
      <c r="R39" s="29"/>
      <c r="T39" s="29"/>
      <c r="U39" s="29"/>
      <c r="V39" s="29"/>
    </row>
    <row r="40" spans="1:22" x14ac:dyDescent="0.3">
      <c r="A40" s="9"/>
      <c r="B40" s="9"/>
      <c r="C40" s="9"/>
      <c r="D40" s="19"/>
      <c r="E40" s="14" t="s">
        <v>51</v>
      </c>
      <c r="F40" s="15">
        <f>F39</f>
        <v>52</v>
      </c>
      <c r="G40" s="15" t="s">
        <v>7</v>
      </c>
      <c r="H40" s="16">
        <v>0.9</v>
      </c>
      <c r="I40" s="30">
        <f>H40*$I$39</f>
        <v>148.5</v>
      </c>
      <c r="J40" s="30">
        <f>F40*I40</f>
        <v>7722</v>
      </c>
      <c r="L40" s="36"/>
      <c r="M40" s="37"/>
      <c r="N40" s="36"/>
      <c r="P40" s="30"/>
      <c r="Q40" s="32"/>
      <c r="R40" s="30"/>
      <c r="T40" s="30"/>
      <c r="U40" s="30"/>
      <c r="V40" s="30"/>
    </row>
    <row r="41" spans="1:22" x14ac:dyDescent="0.3">
      <c r="A41" s="9"/>
      <c r="B41" s="9"/>
      <c r="C41" s="9"/>
      <c r="D41" s="19"/>
      <c r="E41" s="14" t="s">
        <v>52</v>
      </c>
      <c r="F41" s="15">
        <f>F40</f>
        <v>52</v>
      </c>
      <c r="G41" s="15" t="s">
        <v>7</v>
      </c>
      <c r="H41" s="16">
        <v>0.1</v>
      </c>
      <c r="I41" s="30">
        <f>H41*$I$39</f>
        <v>16.5</v>
      </c>
      <c r="J41" s="30">
        <f>F41*I41</f>
        <v>858</v>
      </c>
      <c r="L41" s="36"/>
      <c r="M41" s="37"/>
      <c r="N41" s="36"/>
      <c r="P41" s="30"/>
      <c r="Q41" s="32"/>
      <c r="R41" s="30"/>
      <c r="T41" s="30"/>
      <c r="U41" s="30"/>
      <c r="V41" s="30"/>
    </row>
    <row r="42" spans="1:22" ht="63" x14ac:dyDescent="0.3">
      <c r="A42" s="20">
        <f>A39+0.01</f>
        <v>2.0399999999999991</v>
      </c>
      <c r="B42" s="20" t="s">
        <v>33</v>
      </c>
      <c r="C42" s="20"/>
      <c r="D42" s="21" t="s">
        <v>53</v>
      </c>
      <c r="E42" s="22"/>
      <c r="F42" s="23">
        <v>18</v>
      </c>
      <c r="G42" s="23" t="s">
        <v>7</v>
      </c>
      <c r="H42" s="24"/>
      <c r="I42" s="29">
        <v>145</v>
      </c>
      <c r="J42" s="29">
        <f>I42*F42</f>
        <v>2610</v>
      </c>
      <c r="L42" s="35"/>
      <c r="M42" s="35"/>
      <c r="N42" s="35"/>
      <c r="P42" s="29"/>
      <c r="Q42" s="29"/>
      <c r="R42" s="29"/>
      <c r="T42" s="29"/>
      <c r="U42" s="29"/>
      <c r="V42" s="29"/>
    </row>
    <row r="43" spans="1:22" x14ac:dyDescent="0.3">
      <c r="A43" s="9"/>
      <c r="B43" s="9"/>
      <c r="C43" s="9"/>
      <c r="D43" s="19"/>
      <c r="E43" s="14" t="s">
        <v>51</v>
      </c>
      <c r="F43" s="15">
        <f>F42</f>
        <v>18</v>
      </c>
      <c r="G43" s="15" t="s">
        <v>7</v>
      </c>
      <c r="H43" s="16">
        <v>0.9</v>
      </c>
      <c r="I43" s="30">
        <f>H43*$I$42</f>
        <v>130.5</v>
      </c>
      <c r="J43" s="30">
        <f>F43*I43</f>
        <v>2349</v>
      </c>
      <c r="L43" s="36"/>
      <c r="M43" s="37"/>
      <c r="N43" s="36"/>
      <c r="P43" s="30"/>
      <c r="Q43" s="32"/>
      <c r="R43" s="30"/>
      <c r="T43" s="30"/>
      <c r="U43" s="30"/>
      <c r="V43" s="30"/>
    </row>
    <row r="44" spans="1:22" x14ac:dyDescent="0.3">
      <c r="A44" s="9"/>
      <c r="B44" s="9"/>
      <c r="C44" s="9"/>
      <c r="D44" s="19"/>
      <c r="E44" s="14" t="s">
        <v>52</v>
      </c>
      <c r="F44" s="15">
        <f>F43</f>
        <v>18</v>
      </c>
      <c r="G44" s="15" t="s">
        <v>7</v>
      </c>
      <c r="H44" s="16">
        <v>0.1</v>
      </c>
      <c r="I44" s="30">
        <f>H44*$I$42</f>
        <v>14.5</v>
      </c>
      <c r="J44" s="30">
        <f>F44*I44</f>
        <v>261</v>
      </c>
      <c r="L44" s="36"/>
      <c r="M44" s="37"/>
      <c r="N44" s="36"/>
      <c r="P44" s="30"/>
      <c r="Q44" s="32"/>
      <c r="R44" s="30"/>
      <c r="T44" s="30"/>
      <c r="U44" s="30"/>
      <c r="V44" s="30"/>
    </row>
    <row r="45" spans="1:22" ht="31.5" x14ac:dyDescent="0.3">
      <c r="A45" s="20">
        <f>A42+0.01</f>
        <v>2.0499999999999989</v>
      </c>
      <c r="B45" s="20" t="s">
        <v>33</v>
      </c>
      <c r="C45" s="20"/>
      <c r="D45" s="21" t="s">
        <v>13</v>
      </c>
      <c r="E45" s="22"/>
      <c r="F45" s="23">
        <v>299</v>
      </c>
      <c r="G45" s="23" t="s">
        <v>14</v>
      </c>
      <c r="H45" s="24"/>
      <c r="I45" s="29">
        <v>60</v>
      </c>
      <c r="J45" s="29">
        <f>I45*F45</f>
        <v>17940</v>
      </c>
      <c r="L45" s="35"/>
      <c r="M45" s="35"/>
      <c r="N45" s="35"/>
      <c r="P45" s="29"/>
      <c r="Q45" s="29"/>
      <c r="R45" s="29"/>
      <c r="T45" s="29"/>
      <c r="U45" s="29"/>
      <c r="V45" s="29"/>
    </row>
    <row r="46" spans="1:22" x14ac:dyDescent="0.3">
      <c r="A46" s="9"/>
      <c r="B46" s="9"/>
      <c r="C46" s="9"/>
      <c r="D46" s="19"/>
      <c r="E46" s="14" t="s">
        <v>54</v>
      </c>
      <c r="F46" s="15">
        <f>F45</f>
        <v>299</v>
      </c>
      <c r="G46" s="15" t="s">
        <v>7</v>
      </c>
      <c r="H46" s="16">
        <v>0.9</v>
      </c>
      <c r="I46" s="30">
        <f>H46*$I$45</f>
        <v>54</v>
      </c>
      <c r="J46" s="30">
        <f>F46*I46</f>
        <v>16146</v>
      </c>
      <c r="L46" s="36"/>
      <c r="M46" s="37"/>
      <c r="N46" s="36"/>
      <c r="P46" s="30"/>
      <c r="Q46" s="32"/>
      <c r="R46" s="30"/>
      <c r="T46" s="30"/>
      <c r="U46" s="30"/>
      <c r="V46" s="30"/>
    </row>
    <row r="47" spans="1:22" x14ac:dyDescent="0.3">
      <c r="A47" s="9"/>
      <c r="B47" s="9"/>
      <c r="C47" s="9"/>
      <c r="D47" s="19"/>
      <c r="E47" s="14" t="s">
        <v>52</v>
      </c>
      <c r="F47" s="15">
        <f>F46</f>
        <v>299</v>
      </c>
      <c r="G47" s="15" t="s">
        <v>7</v>
      </c>
      <c r="H47" s="16">
        <v>0.1</v>
      </c>
      <c r="I47" s="30">
        <f>H47*$I$45</f>
        <v>6</v>
      </c>
      <c r="J47" s="30">
        <f>F47*I47</f>
        <v>1794</v>
      </c>
      <c r="L47" s="36"/>
      <c r="M47" s="37"/>
      <c r="N47" s="36"/>
      <c r="P47" s="30"/>
      <c r="Q47" s="32"/>
      <c r="R47" s="30"/>
      <c r="T47" s="30"/>
      <c r="U47" s="30"/>
      <c r="V47" s="30"/>
    </row>
    <row r="48" spans="1:22" ht="47.25" x14ac:dyDescent="0.3">
      <c r="A48" s="20">
        <f>A45+0.01</f>
        <v>2.0599999999999987</v>
      </c>
      <c r="B48" s="20" t="s">
        <v>33</v>
      </c>
      <c r="C48" s="20"/>
      <c r="D48" s="21" t="s">
        <v>15</v>
      </c>
      <c r="E48" s="22"/>
      <c r="F48" s="23">
        <v>12</v>
      </c>
      <c r="G48" s="23" t="s">
        <v>14</v>
      </c>
      <c r="H48" s="24"/>
      <c r="I48" s="29">
        <v>90</v>
      </c>
      <c r="J48" s="29">
        <f>I48*F48</f>
        <v>1080</v>
      </c>
      <c r="L48" s="35"/>
      <c r="M48" s="35"/>
      <c r="N48" s="35"/>
      <c r="P48" s="29"/>
      <c r="Q48" s="29"/>
      <c r="R48" s="29"/>
      <c r="T48" s="29"/>
      <c r="U48" s="29"/>
      <c r="V48" s="29"/>
    </row>
    <row r="49" spans="1:22" x14ac:dyDescent="0.3">
      <c r="A49" s="3">
        <v>3</v>
      </c>
      <c r="B49" s="5"/>
      <c r="C49" s="5"/>
      <c r="D49" s="42" t="s">
        <v>17</v>
      </c>
      <c r="E49" s="41"/>
      <c r="F49" s="41"/>
      <c r="G49" s="41"/>
      <c r="H49" s="41"/>
      <c r="I49" s="41"/>
      <c r="J49" s="41"/>
    </row>
    <row r="50" spans="1:22" ht="63" x14ac:dyDescent="0.3">
      <c r="A50" s="20">
        <f>A49+0.01</f>
        <v>3.01</v>
      </c>
      <c r="B50" s="20" t="s">
        <v>34</v>
      </c>
      <c r="C50" s="20"/>
      <c r="D50" s="21" t="s">
        <v>18</v>
      </c>
      <c r="E50" s="22"/>
      <c r="F50" s="23">
        <v>105</v>
      </c>
      <c r="G50" s="23" t="s">
        <v>7</v>
      </c>
      <c r="H50" s="24"/>
      <c r="I50" s="29">
        <v>30</v>
      </c>
      <c r="J50" s="29">
        <f>I50*F50</f>
        <v>3150</v>
      </c>
      <c r="L50" s="35"/>
      <c r="M50" s="35"/>
      <c r="N50" s="35"/>
      <c r="P50" s="29"/>
      <c r="Q50" s="29"/>
      <c r="R50" s="29"/>
      <c r="T50" s="29"/>
      <c r="U50" s="29"/>
      <c r="V50" s="29"/>
    </row>
    <row r="51" spans="1:22" x14ac:dyDescent="0.3">
      <c r="A51" s="9"/>
      <c r="B51" s="9"/>
      <c r="C51" s="9"/>
      <c r="D51" s="19"/>
      <c r="E51" s="14" t="s">
        <v>55</v>
      </c>
      <c r="F51" s="15">
        <f>F50</f>
        <v>105</v>
      </c>
      <c r="G51" s="15" t="s">
        <v>7</v>
      </c>
      <c r="H51" s="16">
        <v>0.15</v>
      </c>
      <c r="I51" s="30">
        <f>H51*$I$50</f>
        <v>4.5</v>
      </c>
      <c r="J51" s="30">
        <f>F51*I51</f>
        <v>472.5</v>
      </c>
      <c r="L51" s="36"/>
      <c r="M51" s="37"/>
      <c r="N51" s="36"/>
      <c r="P51" s="30"/>
      <c r="Q51" s="32"/>
      <c r="R51" s="30"/>
      <c r="T51" s="30"/>
      <c r="U51" s="30"/>
      <c r="V51" s="30"/>
    </row>
    <row r="52" spans="1:22" x14ac:dyDescent="0.3">
      <c r="A52" s="9"/>
      <c r="B52" s="9"/>
      <c r="C52" s="9"/>
      <c r="D52" s="19"/>
      <c r="E52" s="14" t="s">
        <v>56</v>
      </c>
      <c r="F52" s="15">
        <f>F51</f>
        <v>105</v>
      </c>
      <c r="G52" s="15" t="s">
        <v>7</v>
      </c>
      <c r="H52" s="16">
        <v>0.2</v>
      </c>
      <c r="I52" s="30">
        <f t="shared" ref="I52:I55" si="17">H52*$I$50</f>
        <v>6</v>
      </c>
      <c r="J52" s="30">
        <f t="shared" ref="J52:J55" si="18">F52*I52</f>
        <v>630</v>
      </c>
      <c r="L52" s="36"/>
      <c r="M52" s="37"/>
      <c r="N52" s="36"/>
      <c r="P52" s="30"/>
      <c r="Q52" s="32"/>
      <c r="R52" s="30"/>
      <c r="T52" s="30"/>
      <c r="U52" s="30"/>
      <c r="V52" s="30"/>
    </row>
    <row r="53" spans="1:22" x14ac:dyDescent="0.3">
      <c r="A53" s="9"/>
      <c r="B53" s="9"/>
      <c r="C53" s="9"/>
      <c r="D53" s="19"/>
      <c r="E53" s="14" t="s">
        <v>57</v>
      </c>
      <c r="F53" s="15">
        <f t="shared" ref="F53:F55" si="19">F52</f>
        <v>105</v>
      </c>
      <c r="G53" s="15" t="s">
        <v>7</v>
      </c>
      <c r="H53" s="16">
        <v>0.2</v>
      </c>
      <c r="I53" s="30">
        <f t="shared" si="17"/>
        <v>6</v>
      </c>
      <c r="J53" s="30">
        <f t="shared" si="18"/>
        <v>630</v>
      </c>
      <c r="L53" s="36"/>
      <c r="M53" s="37"/>
      <c r="N53" s="36"/>
      <c r="P53" s="30"/>
      <c r="Q53" s="32"/>
      <c r="R53" s="30"/>
      <c r="T53" s="30"/>
      <c r="U53" s="30"/>
      <c r="V53" s="30"/>
    </row>
    <row r="54" spans="1:22" x14ac:dyDescent="0.3">
      <c r="A54" s="9"/>
      <c r="B54" s="9"/>
      <c r="C54" s="9"/>
      <c r="D54" s="19"/>
      <c r="E54" s="14" t="s">
        <v>58</v>
      </c>
      <c r="F54" s="15">
        <f t="shared" si="19"/>
        <v>105</v>
      </c>
      <c r="G54" s="15" t="s">
        <v>7</v>
      </c>
      <c r="H54" s="16">
        <v>0.2</v>
      </c>
      <c r="I54" s="30">
        <f t="shared" si="17"/>
        <v>6</v>
      </c>
      <c r="J54" s="30">
        <f t="shared" si="18"/>
        <v>630</v>
      </c>
      <c r="L54" s="36"/>
      <c r="M54" s="37"/>
      <c r="N54" s="36"/>
      <c r="P54" s="30"/>
      <c r="Q54" s="32"/>
      <c r="R54" s="30"/>
      <c r="T54" s="30"/>
      <c r="U54" s="30"/>
      <c r="V54" s="30"/>
    </row>
    <row r="55" spans="1:22" x14ac:dyDescent="0.3">
      <c r="A55" s="9"/>
      <c r="B55" s="9"/>
      <c r="C55" s="9"/>
      <c r="D55" s="19"/>
      <c r="E55" s="14" t="s">
        <v>59</v>
      </c>
      <c r="F55" s="15">
        <f t="shared" si="19"/>
        <v>105</v>
      </c>
      <c r="G55" s="15" t="s">
        <v>7</v>
      </c>
      <c r="H55" s="16">
        <v>0.25</v>
      </c>
      <c r="I55" s="30">
        <f t="shared" si="17"/>
        <v>7.5</v>
      </c>
      <c r="J55" s="30">
        <f t="shared" si="18"/>
        <v>787.5</v>
      </c>
      <c r="L55" s="36"/>
      <c r="M55" s="37"/>
      <c r="N55" s="36"/>
      <c r="P55" s="30"/>
      <c r="Q55" s="32"/>
      <c r="R55" s="30"/>
      <c r="T55" s="30"/>
      <c r="U55" s="30"/>
      <c r="V55" s="30"/>
    </row>
    <row r="56" spans="1:22" ht="63" x14ac:dyDescent="0.3">
      <c r="A56" s="20">
        <f>A50+0.01</f>
        <v>3.0199999999999996</v>
      </c>
      <c r="B56" s="20" t="s">
        <v>34</v>
      </c>
      <c r="C56" s="20"/>
      <c r="D56" s="21" t="s">
        <v>19</v>
      </c>
      <c r="E56" s="22"/>
      <c r="F56" s="23">
        <v>39</v>
      </c>
      <c r="G56" s="23" t="s">
        <v>7</v>
      </c>
      <c r="H56" s="24"/>
      <c r="I56" s="29">
        <v>30</v>
      </c>
      <c r="J56" s="29">
        <f t="shared" ref="J56:J62" si="20">I56*F56</f>
        <v>1170</v>
      </c>
      <c r="L56" s="35"/>
      <c r="M56" s="35"/>
      <c r="N56" s="35"/>
      <c r="P56" s="29"/>
      <c r="Q56" s="29"/>
      <c r="R56" s="29"/>
      <c r="T56" s="29"/>
      <c r="U56" s="29"/>
      <c r="V56" s="29"/>
    </row>
    <row r="57" spans="1:22" x14ac:dyDescent="0.3">
      <c r="A57" s="9"/>
      <c r="B57" s="9"/>
      <c r="C57" s="9"/>
      <c r="D57" s="19"/>
      <c r="E57" s="14" t="s">
        <v>55</v>
      </c>
      <c r="F57" s="15">
        <f>F56</f>
        <v>39</v>
      </c>
      <c r="G57" s="15" t="s">
        <v>7</v>
      </c>
      <c r="H57" s="16">
        <v>0.15</v>
      </c>
      <c r="I57" s="30">
        <f>H57*$I$56</f>
        <v>4.5</v>
      </c>
      <c r="J57" s="30">
        <f>F57*I57</f>
        <v>175.5</v>
      </c>
      <c r="L57" s="36"/>
      <c r="M57" s="37"/>
      <c r="N57" s="36"/>
      <c r="P57" s="30"/>
      <c r="Q57" s="32"/>
      <c r="R57" s="30"/>
      <c r="T57" s="30"/>
      <c r="U57" s="30"/>
      <c r="V57" s="30"/>
    </row>
    <row r="58" spans="1:22" x14ac:dyDescent="0.3">
      <c r="A58" s="9"/>
      <c r="B58" s="9"/>
      <c r="C58" s="9"/>
      <c r="D58" s="19"/>
      <c r="E58" s="14" t="s">
        <v>56</v>
      </c>
      <c r="F58" s="15">
        <f>F57</f>
        <v>39</v>
      </c>
      <c r="G58" s="15" t="s">
        <v>7</v>
      </c>
      <c r="H58" s="16">
        <v>0.2</v>
      </c>
      <c r="I58" s="30">
        <f>H58*$I$56</f>
        <v>6</v>
      </c>
      <c r="J58" s="30">
        <f t="shared" ref="J58:J61" si="21">F58*I58</f>
        <v>234</v>
      </c>
      <c r="L58" s="36"/>
      <c r="M58" s="37"/>
      <c r="N58" s="36"/>
      <c r="P58" s="30"/>
      <c r="Q58" s="32"/>
      <c r="R58" s="30"/>
      <c r="T58" s="30"/>
      <c r="U58" s="30"/>
      <c r="V58" s="30"/>
    </row>
    <row r="59" spans="1:22" x14ac:dyDescent="0.3">
      <c r="A59" s="9"/>
      <c r="B59" s="9"/>
      <c r="C59" s="9"/>
      <c r="D59" s="19"/>
      <c r="E59" s="14" t="s">
        <v>57</v>
      </c>
      <c r="F59" s="15">
        <f t="shared" ref="F59:F61" si="22">F58</f>
        <v>39</v>
      </c>
      <c r="G59" s="15" t="s">
        <v>7</v>
      </c>
      <c r="H59" s="16">
        <v>0.2</v>
      </c>
      <c r="I59" s="30">
        <f>H59*$I$56</f>
        <v>6</v>
      </c>
      <c r="J59" s="30">
        <f t="shared" si="21"/>
        <v>234</v>
      </c>
      <c r="L59" s="36"/>
      <c r="M59" s="37"/>
      <c r="N59" s="36"/>
      <c r="P59" s="30"/>
      <c r="Q59" s="32"/>
      <c r="R59" s="30"/>
      <c r="T59" s="30"/>
      <c r="U59" s="30"/>
      <c r="V59" s="30"/>
    </row>
    <row r="60" spans="1:22" x14ac:dyDescent="0.3">
      <c r="A60" s="9"/>
      <c r="B60" s="9"/>
      <c r="C60" s="9"/>
      <c r="D60" s="19"/>
      <c r="E60" s="14" t="s">
        <v>58</v>
      </c>
      <c r="F60" s="15">
        <f t="shared" si="22"/>
        <v>39</v>
      </c>
      <c r="G60" s="15" t="s">
        <v>7</v>
      </c>
      <c r="H60" s="16">
        <v>0.2</v>
      </c>
      <c r="I60" s="30">
        <f>H60*$I$56</f>
        <v>6</v>
      </c>
      <c r="J60" s="30">
        <f t="shared" si="21"/>
        <v>234</v>
      </c>
      <c r="L60" s="36"/>
      <c r="M60" s="37"/>
      <c r="N60" s="36"/>
      <c r="P60" s="30"/>
      <c r="Q60" s="32"/>
      <c r="R60" s="30"/>
      <c r="T60" s="30"/>
      <c r="U60" s="30"/>
      <c r="V60" s="30"/>
    </row>
    <row r="61" spans="1:22" x14ac:dyDescent="0.3">
      <c r="A61" s="9"/>
      <c r="B61" s="9"/>
      <c r="C61" s="9"/>
      <c r="D61" s="19"/>
      <c r="E61" s="14" t="s">
        <v>59</v>
      </c>
      <c r="F61" s="15">
        <f t="shared" si="22"/>
        <v>39</v>
      </c>
      <c r="G61" s="15" t="s">
        <v>7</v>
      </c>
      <c r="H61" s="16">
        <v>0.25</v>
      </c>
      <c r="I61" s="30">
        <f>H61*$I$56</f>
        <v>7.5</v>
      </c>
      <c r="J61" s="30">
        <f t="shared" si="21"/>
        <v>292.5</v>
      </c>
      <c r="L61" s="36"/>
      <c r="M61" s="37"/>
      <c r="N61" s="36"/>
      <c r="P61" s="30"/>
      <c r="Q61" s="32"/>
      <c r="R61" s="30"/>
      <c r="T61" s="30"/>
      <c r="U61" s="30"/>
      <c r="V61" s="30"/>
    </row>
    <row r="62" spans="1:22" ht="63" x14ac:dyDescent="0.3">
      <c r="A62" s="20">
        <f>A56+0.01</f>
        <v>3.0299999999999994</v>
      </c>
      <c r="B62" s="20" t="s">
        <v>34</v>
      </c>
      <c r="C62" s="20"/>
      <c r="D62" s="21" t="s">
        <v>20</v>
      </c>
      <c r="E62" s="22"/>
      <c r="F62" s="23">
        <v>750</v>
      </c>
      <c r="G62" s="23" t="s">
        <v>7</v>
      </c>
      <c r="H62" s="24"/>
      <c r="I62" s="29">
        <v>40</v>
      </c>
      <c r="J62" s="29">
        <f t="shared" si="20"/>
        <v>30000</v>
      </c>
      <c r="L62" s="35"/>
      <c r="M62" s="35"/>
      <c r="N62" s="35"/>
      <c r="P62" s="29"/>
      <c r="Q62" s="29"/>
      <c r="R62" s="29"/>
      <c r="T62" s="29"/>
      <c r="U62" s="29"/>
      <c r="V62" s="29"/>
    </row>
    <row r="63" spans="1:22" x14ac:dyDescent="0.3">
      <c r="A63" s="9"/>
      <c r="B63" s="9"/>
      <c r="C63" s="9"/>
      <c r="D63" s="19"/>
      <c r="E63" s="14" t="s">
        <v>55</v>
      </c>
      <c r="F63" s="15">
        <f>F62</f>
        <v>750</v>
      </c>
      <c r="G63" s="15" t="s">
        <v>7</v>
      </c>
      <c r="H63" s="16">
        <v>0.15</v>
      </c>
      <c r="I63" s="30">
        <f>H63*$I$62</f>
        <v>6</v>
      </c>
      <c r="J63" s="30">
        <f>F63*I63</f>
        <v>4500</v>
      </c>
      <c r="L63" s="36"/>
      <c r="M63" s="37"/>
      <c r="N63" s="36"/>
      <c r="P63" s="30"/>
      <c r="Q63" s="32"/>
      <c r="R63" s="30"/>
      <c r="T63" s="30"/>
      <c r="U63" s="30"/>
      <c r="V63" s="30"/>
    </row>
    <row r="64" spans="1:22" x14ac:dyDescent="0.3">
      <c r="A64" s="9"/>
      <c r="B64" s="9"/>
      <c r="C64" s="9"/>
      <c r="D64" s="19"/>
      <c r="E64" s="14" t="s">
        <v>56</v>
      </c>
      <c r="F64" s="15">
        <f>F63</f>
        <v>750</v>
      </c>
      <c r="G64" s="15" t="s">
        <v>7</v>
      </c>
      <c r="H64" s="16">
        <v>0.2</v>
      </c>
      <c r="I64" s="30">
        <f>H64*$I$62</f>
        <v>8</v>
      </c>
      <c r="J64" s="30">
        <f t="shared" ref="J64:J67" si="23">F64*I64</f>
        <v>6000</v>
      </c>
      <c r="L64" s="36"/>
      <c r="M64" s="37"/>
      <c r="N64" s="36"/>
      <c r="P64" s="30"/>
      <c r="Q64" s="32"/>
      <c r="R64" s="30"/>
      <c r="T64" s="30"/>
      <c r="U64" s="30"/>
      <c r="V64" s="30"/>
    </row>
    <row r="65" spans="1:22" x14ac:dyDescent="0.3">
      <c r="A65" s="9"/>
      <c r="B65" s="9"/>
      <c r="C65" s="9"/>
      <c r="D65" s="19"/>
      <c r="E65" s="14" t="s">
        <v>57</v>
      </c>
      <c r="F65" s="15">
        <f t="shared" ref="F65:F67" si="24">F64</f>
        <v>750</v>
      </c>
      <c r="G65" s="15" t="s">
        <v>7</v>
      </c>
      <c r="H65" s="16">
        <v>0.2</v>
      </c>
      <c r="I65" s="30">
        <f>H65*$I$62</f>
        <v>8</v>
      </c>
      <c r="J65" s="30">
        <f t="shared" si="23"/>
        <v>6000</v>
      </c>
      <c r="L65" s="36"/>
      <c r="M65" s="37"/>
      <c r="N65" s="36"/>
      <c r="P65" s="30"/>
      <c r="Q65" s="32"/>
      <c r="R65" s="30"/>
      <c r="T65" s="30"/>
      <c r="U65" s="30"/>
      <c r="V65" s="30"/>
    </row>
    <row r="66" spans="1:22" x14ac:dyDescent="0.3">
      <c r="A66" s="9"/>
      <c r="B66" s="9"/>
      <c r="C66" s="9"/>
      <c r="D66" s="19"/>
      <c r="E66" s="14" t="s">
        <v>58</v>
      </c>
      <c r="F66" s="15">
        <f t="shared" si="24"/>
        <v>750</v>
      </c>
      <c r="G66" s="15" t="s">
        <v>7</v>
      </c>
      <c r="H66" s="16">
        <v>0.2</v>
      </c>
      <c r="I66" s="30">
        <f>H66*$I$62</f>
        <v>8</v>
      </c>
      <c r="J66" s="30">
        <f t="shared" si="23"/>
        <v>6000</v>
      </c>
      <c r="L66" s="36"/>
      <c r="M66" s="37"/>
      <c r="N66" s="36"/>
      <c r="P66" s="30"/>
      <c r="Q66" s="32"/>
      <c r="R66" s="30"/>
      <c r="T66" s="30"/>
      <c r="U66" s="30"/>
      <c r="V66" s="30"/>
    </row>
    <row r="67" spans="1:22" x14ac:dyDescent="0.3">
      <c r="A67" s="9"/>
      <c r="B67" s="9"/>
      <c r="C67" s="9"/>
      <c r="D67" s="19"/>
      <c r="E67" s="14" t="s">
        <v>59</v>
      </c>
      <c r="F67" s="15">
        <f t="shared" si="24"/>
        <v>750</v>
      </c>
      <c r="G67" s="15" t="s">
        <v>7</v>
      </c>
      <c r="H67" s="16">
        <v>0.25</v>
      </c>
      <c r="I67" s="30">
        <f>H67*$I$62</f>
        <v>10</v>
      </c>
      <c r="J67" s="30">
        <f t="shared" si="23"/>
        <v>7500</v>
      </c>
      <c r="L67" s="36"/>
      <c r="M67" s="37"/>
      <c r="N67" s="36"/>
      <c r="P67" s="30"/>
      <c r="Q67" s="32"/>
      <c r="R67" s="30"/>
      <c r="T67" s="30"/>
      <c r="U67" s="30"/>
      <c r="V67" s="30"/>
    </row>
    <row r="68" spans="1:22" x14ac:dyDescent="0.3">
      <c r="A68" s="3">
        <v>4</v>
      </c>
      <c r="B68" s="3"/>
      <c r="C68" s="5"/>
      <c r="D68" s="42" t="s">
        <v>21</v>
      </c>
      <c r="E68" s="41"/>
      <c r="F68" s="41"/>
      <c r="G68" s="41"/>
      <c r="H68" s="41"/>
      <c r="I68" s="41"/>
      <c r="J68" s="43"/>
    </row>
    <row r="69" spans="1:22" ht="78.75" x14ac:dyDescent="0.3">
      <c r="A69" s="20">
        <f>A68+0.01</f>
        <v>4.01</v>
      </c>
      <c r="B69" s="20" t="s">
        <v>35</v>
      </c>
      <c r="C69" s="20"/>
      <c r="D69" s="21" t="s">
        <v>22</v>
      </c>
      <c r="E69" s="22"/>
      <c r="F69" s="23">
        <v>70</v>
      </c>
      <c r="G69" s="23" t="s">
        <v>7</v>
      </c>
      <c r="H69" s="24"/>
      <c r="I69" s="29">
        <v>140</v>
      </c>
      <c r="J69" s="29">
        <f>I69*F69</f>
        <v>9800</v>
      </c>
      <c r="L69" s="35"/>
      <c r="M69" s="35"/>
      <c r="N69" s="35"/>
      <c r="P69" s="29"/>
      <c r="Q69" s="29"/>
      <c r="R69" s="29"/>
      <c r="T69" s="29"/>
      <c r="U69" s="29"/>
      <c r="V69" s="29"/>
    </row>
    <row r="70" spans="1:22" x14ac:dyDescent="0.3">
      <c r="A70" s="38"/>
      <c r="B70" s="38"/>
      <c r="C70" s="9"/>
      <c r="D70" s="12"/>
      <c r="E70" s="14" t="s">
        <v>41</v>
      </c>
      <c r="F70" s="15">
        <f>F69</f>
        <v>70</v>
      </c>
      <c r="G70" s="15" t="s">
        <v>7</v>
      </c>
      <c r="H70" s="16">
        <v>0.4</v>
      </c>
      <c r="I70" s="30">
        <f>H70*$I$69</f>
        <v>56</v>
      </c>
      <c r="J70" s="30">
        <f>F70*I70</f>
        <v>3920</v>
      </c>
      <c r="L70" s="36"/>
      <c r="M70" s="37"/>
      <c r="N70" s="36"/>
      <c r="P70" s="30"/>
      <c r="Q70" s="32"/>
      <c r="R70" s="30"/>
      <c r="T70" s="30"/>
      <c r="U70" s="30"/>
      <c r="V70" s="30"/>
    </row>
    <row r="71" spans="1:22" x14ac:dyDescent="0.3">
      <c r="A71" s="38"/>
      <c r="B71" s="38"/>
      <c r="C71" s="9"/>
      <c r="D71" s="12"/>
      <c r="E71" s="14" t="s">
        <v>42</v>
      </c>
      <c r="F71" s="15">
        <f>F70</f>
        <v>70</v>
      </c>
      <c r="G71" s="15" t="s">
        <v>7</v>
      </c>
      <c r="H71" s="16">
        <v>0.25</v>
      </c>
      <c r="I71" s="30">
        <f>H71*$I$69</f>
        <v>35</v>
      </c>
      <c r="J71" s="30">
        <f t="shared" ref="J71:J74" si="25">F71*I71</f>
        <v>2450</v>
      </c>
      <c r="L71" s="36"/>
      <c r="M71" s="37"/>
      <c r="N71" s="36"/>
      <c r="P71" s="30"/>
      <c r="Q71" s="32"/>
      <c r="R71" s="30"/>
      <c r="T71" s="30"/>
      <c r="U71" s="30"/>
      <c r="V71" s="30"/>
    </row>
    <row r="72" spans="1:22" x14ac:dyDescent="0.3">
      <c r="A72" s="38"/>
      <c r="B72" s="38"/>
      <c r="C72" s="9"/>
      <c r="D72" s="12"/>
      <c r="E72" s="14" t="s">
        <v>44</v>
      </c>
      <c r="F72" s="15">
        <f>F71</f>
        <v>70</v>
      </c>
      <c r="G72" s="15" t="s">
        <v>7</v>
      </c>
      <c r="H72" s="16">
        <v>0.15</v>
      </c>
      <c r="I72" s="30">
        <f>H72*$I$69</f>
        <v>21</v>
      </c>
      <c r="J72" s="30">
        <f t="shared" si="25"/>
        <v>1470</v>
      </c>
      <c r="L72" s="36"/>
      <c r="M72" s="37"/>
      <c r="N72" s="36"/>
      <c r="P72" s="30"/>
      <c r="Q72" s="32"/>
      <c r="R72" s="30"/>
      <c r="T72" s="30"/>
      <c r="U72" s="30"/>
      <c r="V72" s="30"/>
    </row>
    <row r="73" spans="1:22" x14ac:dyDescent="0.3">
      <c r="A73" s="38"/>
      <c r="B73" s="38"/>
      <c r="C73" s="9"/>
      <c r="D73" s="12"/>
      <c r="E73" s="14" t="s">
        <v>45</v>
      </c>
      <c r="F73" s="15">
        <f>F72</f>
        <v>70</v>
      </c>
      <c r="G73" s="15" t="s">
        <v>7</v>
      </c>
      <c r="H73" s="16">
        <v>0.15</v>
      </c>
      <c r="I73" s="30">
        <f>H73*$I$69</f>
        <v>21</v>
      </c>
      <c r="J73" s="30">
        <f t="shared" si="25"/>
        <v>1470</v>
      </c>
      <c r="L73" s="36"/>
      <c r="M73" s="37"/>
      <c r="N73" s="36"/>
      <c r="P73" s="30"/>
      <c r="Q73" s="32"/>
      <c r="R73" s="30"/>
      <c r="T73" s="30"/>
      <c r="U73" s="30"/>
      <c r="V73" s="30"/>
    </row>
    <row r="74" spans="1:22" x14ac:dyDescent="0.3">
      <c r="A74" s="39"/>
      <c r="B74" s="39"/>
      <c r="C74" s="6"/>
      <c r="D74" s="13"/>
      <c r="E74" s="14" t="s">
        <v>40</v>
      </c>
      <c r="F74" s="15">
        <f>F73</f>
        <v>70</v>
      </c>
      <c r="G74" s="15" t="s">
        <v>7</v>
      </c>
      <c r="H74" s="16">
        <v>0.05</v>
      </c>
      <c r="I74" s="30">
        <f>H74*$I$69</f>
        <v>7</v>
      </c>
      <c r="J74" s="30">
        <f t="shared" si="25"/>
        <v>490</v>
      </c>
      <c r="L74" s="36"/>
      <c r="M74" s="37"/>
      <c r="N74" s="36"/>
      <c r="P74" s="30"/>
      <c r="Q74" s="32"/>
      <c r="R74" s="30"/>
      <c r="T74" s="30"/>
      <c r="U74" s="30"/>
      <c r="V74" s="30"/>
    </row>
    <row r="75" spans="1:22" ht="31.5" x14ac:dyDescent="0.3">
      <c r="A75" s="20">
        <f>A69+0.01</f>
        <v>4.0199999999999996</v>
      </c>
      <c r="B75" s="20" t="s">
        <v>35</v>
      </c>
      <c r="C75" s="20"/>
      <c r="D75" s="21" t="s">
        <v>23</v>
      </c>
      <c r="E75" s="22"/>
      <c r="F75" s="23">
        <v>249</v>
      </c>
      <c r="G75" s="23" t="s">
        <v>7</v>
      </c>
      <c r="H75" s="24"/>
      <c r="I75" s="29">
        <v>110</v>
      </c>
      <c r="J75" s="29">
        <f t="shared" ref="J75:J86" si="26">I75*F75</f>
        <v>27390</v>
      </c>
      <c r="L75" s="35"/>
      <c r="M75" s="35"/>
      <c r="N75" s="35"/>
      <c r="P75" s="29"/>
      <c r="Q75" s="29"/>
      <c r="R75" s="29"/>
      <c r="T75" s="29"/>
      <c r="U75" s="29"/>
      <c r="V75" s="29"/>
    </row>
    <row r="76" spans="1:22" x14ac:dyDescent="0.3">
      <c r="A76" s="38"/>
      <c r="B76" s="38"/>
      <c r="C76" s="9"/>
      <c r="D76" s="12"/>
      <c r="E76" s="14" t="s">
        <v>41</v>
      </c>
      <c r="F76" s="15">
        <f>F75</f>
        <v>249</v>
      </c>
      <c r="G76" s="15" t="s">
        <v>7</v>
      </c>
      <c r="H76" s="16">
        <v>0.4</v>
      </c>
      <c r="I76" s="30">
        <f>H76*$I$75</f>
        <v>44</v>
      </c>
      <c r="J76" s="30">
        <f>F76*I76</f>
        <v>10956</v>
      </c>
      <c r="L76" s="36"/>
      <c r="M76" s="37"/>
      <c r="N76" s="36"/>
      <c r="P76" s="30"/>
      <c r="Q76" s="32"/>
      <c r="R76" s="30"/>
      <c r="T76" s="30"/>
      <c r="U76" s="30"/>
      <c r="V76" s="30"/>
    </row>
    <row r="77" spans="1:22" x14ac:dyDescent="0.3">
      <c r="A77" s="39"/>
      <c r="B77" s="39"/>
      <c r="C77" s="6"/>
      <c r="D77" s="13"/>
      <c r="E77" s="14" t="s">
        <v>51</v>
      </c>
      <c r="F77" s="15">
        <f>F76</f>
        <v>249</v>
      </c>
      <c r="G77" s="15" t="s">
        <v>7</v>
      </c>
      <c r="H77" s="16">
        <v>0.25</v>
      </c>
      <c r="I77" s="30">
        <f>H77*$I$75</f>
        <v>27.5</v>
      </c>
      <c r="J77" s="30">
        <f t="shared" ref="J77" si="27">F77*I77</f>
        <v>6847.5</v>
      </c>
      <c r="L77" s="36"/>
      <c r="M77" s="37"/>
      <c r="N77" s="36"/>
      <c r="P77" s="30"/>
      <c r="Q77" s="32"/>
      <c r="R77" s="30"/>
      <c r="T77" s="30"/>
      <c r="U77" s="30"/>
      <c r="V77" s="30"/>
    </row>
    <row r="78" spans="1:22" ht="78.75" x14ac:dyDescent="0.3">
      <c r="A78" s="20">
        <f>A75+0.01</f>
        <v>4.0299999999999994</v>
      </c>
      <c r="B78" s="20" t="s">
        <v>35</v>
      </c>
      <c r="C78" s="20"/>
      <c r="D78" s="21" t="s">
        <v>24</v>
      </c>
      <c r="E78" s="22"/>
      <c r="F78" s="23">
        <v>1</v>
      </c>
      <c r="G78" s="23" t="s">
        <v>25</v>
      </c>
      <c r="H78" s="24"/>
      <c r="I78" s="29">
        <v>5000</v>
      </c>
      <c r="J78" s="29">
        <f t="shared" si="26"/>
        <v>5000</v>
      </c>
      <c r="L78" s="35"/>
      <c r="M78" s="35"/>
      <c r="N78" s="35"/>
      <c r="P78" s="29"/>
      <c r="Q78" s="29"/>
      <c r="R78" s="29"/>
      <c r="T78" s="29"/>
      <c r="U78" s="29"/>
      <c r="V78" s="29"/>
    </row>
    <row r="79" spans="1:22" x14ac:dyDescent="0.3">
      <c r="A79" s="38"/>
      <c r="B79" s="38"/>
      <c r="C79" s="9"/>
      <c r="D79" s="12"/>
      <c r="E79" s="14" t="s">
        <v>41</v>
      </c>
      <c r="F79" s="15">
        <f>F78</f>
        <v>1</v>
      </c>
      <c r="G79" s="15" t="s">
        <v>16</v>
      </c>
      <c r="H79" s="16">
        <v>0.1</v>
      </c>
      <c r="I79" s="30">
        <f t="shared" ref="I79:I85" si="28">H79*$I$78</f>
        <v>500</v>
      </c>
      <c r="J79" s="30">
        <f>F79*I79</f>
        <v>500</v>
      </c>
      <c r="L79" s="36"/>
      <c r="M79" s="37"/>
      <c r="N79" s="36"/>
      <c r="P79" s="30"/>
      <c r="Q79" s="32"/>
      <c r="R79" s="30"/>
      <c r="T79" s="30"/>
      <c r="U79" s="30"/>
      <c r="V79" s="30"/>
    </row>
    <row r="80" spans="1:22" x14ac:dyDescent="0.3">
      <c r="A80" s="38"/>
      <c r="B80" s="38"/>
      <c r="C80" s="9"/>
      <c r="D80" s="12"/>
      <c r="E80" s="14" t="s">
        <v>42</v>
      </c>
      <c r="F80" s="15">
        <f>F79</f>
        <v>1</v>
      </c>
      <c r="G80" s="15" t="s">
        <v>16</v>
      </c>
      <c r="H80" s="16">
        <v>0.1</v>
      </c>
      <c r="I80" s="30">
        <f t="shared" si="28"/>
        <v>500</v>
      </c>
      <c r="J80" s="30">
        <f t="shared" ref="J80:J85" si="29">F80*I80</f>
        <v>500</v>
      </c>
      <c r="L80" s="36"/>
      <c r="M80" s="37"/>
      <c r="N80" s="36"/>
      <c r="P80" s="30"/>
      <c r="Q80" s="32"/>
      <c r="R80" s="30"/>
      <c r="T80" s="30"/>
      <c r="U80" s="30"/>
      <c r="V80" s="30"/>
    </row>
    <row r="81" spans="1:22" x14ac:dyDescent="0.3">
      <c r="A81" s="38"/>
      <c r="B81" s="38"/>
      <c r="C81" s="9"/>
      <c r="D81" s="12"/>
      <c r="E81" s="14" t="s">
        <v>44</v>
      </c>
      <c r="F81" s="15">
        <f>F80</f>
        <v>1</v>
      </c>
      <c r="G81" s="15" t="s">
        <v>16</v>
      </c>
      <c r="H81" s="16">
        <v>0.1</v>
      </c>
      <c r="I81" s="30">
        <f t="shared" si="28"/>
        <v>500</v>
      </c>
      <c r="J81" s="30">
        <f t="shared" si="29"/>
        <v>500</v>
      </c>
      <c r="L81" s="36"/>
      <c r="M81" s="37"/>
      <c r="N81" s="36"/>
      <c r="P81" s="30"/>
      <c r="Q81" s="32"/>
      <c r="R81" s="30"/>
      <c r="T81" s="30"/>
      <c r="U81" s="30"/>
      <c r="V81" s="30"/>
    </row>
    <row r="82" spans="1:22" x14ac:dyDescent="0.3">
      <c r="A82" s="38"/>
      <c r="B82" s="38"/>
      <c r="C82" s="9"/>
      <c r="D82" s="12"/>
      <c r="E82" s="14" t="s">
        <v>45</v>
      </c>
      <c r="F82" s="15">
        <f>F81</f>
        <v>1</v>
      </c>
      <c r="G82" s="15" t="s">
        <v>16</v>
      </c>
      <c r="H82" s="16">
        <v>0.05</v>
      </c>
      <c r="I82" s="30">
        <f t="shared" si="28"/>
        <v>250</v>
      </c>
      <c r="J82" s="30">
        <f t="shared" si="29"/>
        <v>250</v>
      </c>
      <c r="L82" s="36"/>
      <c r="M82" s="37"/>
      <c r="N82" s="36"/>
      <c r="P82" s="30"/>
      <c r="Q82" s="32"/>
      <c r="R82" s="30"/>
      <c r="T82" s="30"/>
      <c r="U82" s="30"/>
      <c r="V82" s="30"/>
    </row>
    <row r="83" spans="1:22" x14ac:dyDescent="0.3">
      <c r="A83" s="38"/>
      <c r="B83" s="38"/>
      <c r="C83" s="9"/>
      <c r="D83" s="12"/>
      <c r="E83" s="14" t="s">
        <v>40</v>
      </c>
      <c r="F83" s="15">
        <f>F81</f>
        <v>1</v>
      </c>
      <c r="G83" s="15" t="s">
        <v>16</v>
      </c>
      <c r="H83" s="16">
        <v>0.05</v>
      </c>
      <c r="I83" s="30">
        <f t="shared" si="28"/>
        <v>250</v>
      </c>
      <c r="J83" s="30">
        <f t="shared" si="29"/>
        <v>250</v>
      </c>
      <c r="L83" s="36"/>
      <c r="M83" s="37"/>
      <c r="N83" s="36"/>
      <c r="P83" s="30"/>
      <c r="Q83" s="32"/>
      <c r="R83" s="30"/>
      <c r="T83" s="30"/>
      <c r="U83" s="30"/>
      <c r="V83" s="30"/>
    </row>
    <row r="84" spans="1:22" x14ac:dyDescent="0.3">
      <c r="A84" s="38"/>
      <c r="B84" s="38"/>
      <c r="C84" s="9"/>
      <c r="D84" s="12"/>
      <c r="E84" s="14" t="s">
        <v>34</v>
      </c>
      <c r="F84" s="15">
        <v>1</v>
      </c>
      <c r="G84" s="15" t="s">
        <v>16</v>
      </c>
      <c r="H84" s="16">
        <v>0.25</v>
      </c>
      <c r="I84" s="30">
        <f t="shared" si="28"/>
        <v>1250</v>
      </c>
      <c r="J84" s="30">
        <f t="shared" si="29"/>
        <v>1250</v>
      </c>
      <c r="L84" s="36"/>
      <c r="M84" s="37"/>
      <c r="N84" s="36"/>
      <c r="P84" s="30"/>
      <c r="Q84" s="32"/>
      <c r="R84" s="30"/>
      <c r="T84" s="30"/>
      <c r="U84" s="30"/>
      <c r="V84" s="30"/>
    </row>
    <row r="85" spans="1:22" x14ac:dyDescent="0.3">
      <c r="A85" s="39"/>
      <c r="B85" s="39"/>
      <c r="C85" s="6"/>
      <c r="D85" s="13"/>
      <c r="E85" s="14" t="s">
        <v>60</v>
      </c>
      <c r="F85" s="15">
        <f>F82</f>
        <v>1</v>
      </c>
      <c r="G85" s="15" t="s">
        <v>16</v>
      </c>
      <c r="H85" s="16">
        <v>0.35</v>
      </c>
      <c r="I85" s="30">
        <f t="shared" si="28"/>
        <v>1750</v>
      </c>
      <c r="J85" s="30">
        <f t="shared" si="29"/>
        <v>1750</v>
      </c>
      <c r="L85" s="36"/>
      <c r="M85" s="37"/>
      <c r="N85" s="36"/>
      <c r="P85" s="30"/>
      <c r="Q85" s="32"/>
      <c r="R85" s="30"/>
      <c r="T85" s="30"/>
      <c r="U85" s="30"/>
      <c r="V85" s="30"/>
    </row>
    <row r="86" spans="1:22" ht="78.75" x14ac:dyDescent="0.3">
      <c r="A86" s="20">
        <f t="shared" ref="A86" si="30">A78+0.01</f>
        <v>4.0399999999999991</v>
      </c>
      <c r="B86" s="20" t="s">
        <v>36</v>
      </c>
      <c r="C86" s="20"/>
      <c r="D86" s="21" t="s">
        <v>26</v>
      </c>
      <c r="E86" s="22"/>
      <c r="F86" s="23">
        <v>1</v>
      </c>
      <c r="G86" s="23" t="s">
        <v>25</v>
      </c>
      <c r="H86" s="24"/>
      <c r="I86" s="29">
        <v>13387</v>
      </c>
      <c r="J86" s="29">
        <f t="shared" si="26"/>
        <v>13387</v>
      </c>
      <c r="L86" s="35"/>
      <c r="M86" s="35"/>
      <c r="N86" s="35"/>
      <c r="P86" s="29"/>
      <c r="Q86" s="29"/>
      <c r="R86" s="29"/>
      <c r="T86" s="29"/>
      <c r="U86" s="29"/>
      <c r="V86" s="29"/>
    </row>
    <row r="87" spans="1:22" x14ac:dyDescent="0.3">
      <c r="A87" s="38"/>
      <c r="B87" s="38"/>
      <c r="C87" s="9"/>
      <c r="D87" s="12"/>
      <c r="E87" s="14" t="s">
        <v>41</v>
      </c>
      <c r="F87" s="15">
        <f>F86</f>
        <v>1</v>
      </c>
      <c r="G87" s="15" t="s">
        <v>16</v>
      </c>
      <c r="H87" s="16">
        <v>0.2</v>
      </c>
      <c r="I87" s="30">
        <f>H87*$I$86</f>
        <v>2677.4</v>
      </c>
      <c r="J87" s="30">
        <f>F87*I87</f>
        <v>2677.4</v>
      </c>
      <c r="L87" s="36"/>
      <c r="M87" s="37"/>
      <c r="N87" s="36"/>
      <c r="P87" s="30"/>
      <c r="Q87" s="32"/>
      <c r="R87" s="30"/>
      <c r="T87" s="30"/>
      <c r="U87" s="30"/>
      <c r="V87" s="30"/>
    </row>
    <row r="88" spans="1:22" x14ac:dyDescent="0.3">
      <c r="A88" s="38"/>
      <c r="B88" s="38"/>
      <c r="C88" s="9"/>
      <c r="D88" s="12"/>
      <c r="E88" s="14" t="s">
        <v>61</v>
      </c>
      <c r="F88" s="15">
        <f>F87</f>
        <v>1</v>
      </c>
      <c r="G88" s="15" t="s">
        <v>16</v>
      </c>
      <c r="H88" s="16">
        <v>0.2</v>
      </c>
      <c r="I88" s="30">
        <f>H88*$I$86</f>
        <v>2677.4</v>
      </c>
      <c r="J88" s="30">
        <f t="shared" ref="J88:J91" si="31">F88*I88</f>
        <v>2677.4</v>
      </c>
      <c r="L88" s="36"/>
      <c r="M88" s="37"/>
      <c r="N88" s="36"/>
      <c r="P88" s="30"/>
      <c r="Q88" s="32"/>
      <c r="R88" s="30"/>
      <c r="T88" s="30"/>
      <c r="U88" s="30"/>
      <c r="V88" s="30"/>
    </row>
    <row r="89" spans="1:22" x14ac:dyDescent="0.3">
      <c r="A89" s="38"/>
      <c r="B89" s="38"/>
      <c r="C89" s="9"/>
      <c r="D89" s="12"/>
      <c r="E89" s="14" t="s">
        <v>63</v>
      </c>
      <c r="F89" s="15">
        <f>F88</f>
        <v>1</v>
      </c>
      <c r="G89" s="15" t="s">
        <v>16</v>
      </c>
      <c r="H89" s="16">
        <v>0.15</v>
      </c>
      <c r="I89" s="30">
        <f>H89*$I$86</f>
        <v>2008.05</v>
      </c>
      <c r="J89" s="30">
        <f t="shared" si="31"/>
        <v>2008.05</v>
      </c>
      <c r="L89" s="36"/>
      <c r="M89" s="37"/>
      <c r="N89" s="36"/>
      <c r="P89" s="30"/>
      <c r="Q89" s="32"/>
      <c r="R89" s="30"/>
      <c r="T89" s="30"/>
      <c r="U89" s="30"/>
      <c r="V89" s="30"/>
    </row>
    <row r="90" spans="1:22" x14ac:dyDescent="0.3">
      <c r="A90" s="38"/>
      <c r="B90" s="38"/>
      <c r="C90" s="9"/>
      <c r="D90" s="12"/>
      <c r="E90" s="14" t="s">
        <v>62</v>
      </c>
      <c r="F90" s="15">
        <f>F89</f>
        <v>1</v>
      </c>
      <c r="G90" s="15" t="s">
        <v>16</v>
      </c>
      <c r="H90" s="16">
        <v>0.2</v>
      </c>
      <c r="I90" s="30">
        <f>H90*$I$86</f>
        <v>2677.4</v>
      </c>
      <c r="J90" s="30">
        <f t="shared" si="31"/>
        <v>2677.4</v>
      </c>
      <c r="L90" s="36"/>
      <c r="M90" s="37"/>
      <c r="N90" s="36"/>
      <c r="P90" s="30"/>
      <c r="Q90" s="32"/>
      <c r="R90" s="30"/>
      <c r="T90" s="30"/>
      <c r="U90" s="30"/>
      <c r="V90" s="30"/>
    </row>
    <row r="91" spans="1:22" x14ac:dyDescent="0.3">
      <c r="A91" s="38"/>
      <c r="B91" s="38"/>
      <c r="C91" s="9"/>
      <c r="D91" s="12"/>
      <c r="E91" s="14" t="s">
        <v>64</v>
      </c>
      <c r="F91" s="15">
        <f>F89</f>
        <v>1</v>
      </c>
      <c r="G91" s="15" t="s">
        <v>16</v>
      </c>
      <c r="H91" s="16">
        <v>0.25</v>
      </c>
      <c r="I91" s="30">
        <f>H91*$I$86</f>
        <v>3346.75</v>
      </c>
      <c r="J91" s="30">
        <f t="shared" si="31"/>
        <v>3346.75</v>
      </c>
      <c r="L91" s="36"/>
      <c r="M91" s="37"/>
      <c r="N91" s="36"/>
      <c r="P91" s="30"/>
      <c r="Q91" s="32"/>
      <c r="R91" s="30"/>
      <c r="T91" s="30"/>
      <c r="U91" s="30"/>
      <c r="V91" s="30"/>
    </row>
    <row r="92" spans="1:22" x14ac:dyDescent="0.3">
      <c r="A92" s="3">
        <v>5</v>
      </c>
      <c r="B92" s="3"/>
      <c r="C92" s="5"/>
      <c r="D92" s="42" t="s">
        <v>27</v>
      </c>
      <c r="E92" s="41"/>
      <c r="F92" s="41"/>
      <c r="G92" s="41"/>
      <c r="H92" s="41"/>
      <c r="I92" s="41"/>
      <c r="J92" s="43"/>
    </row>
    <row r="93" spans="1:22" ht="31.5" x14ac:dyDescent="0.3">
      <c r="A93" s="20">
        <f>A92+0.01</f>
        <v>5.01</v>
      </c>
      <c r="B93" s="20" t="s">
        <v>37</v>
      </c>
      <c r="C93" s="20"/>
      <c r="D93" s="21" t="s">
        <v>28</v>
      </c>
      <c r="E93" s="22"/>
      <c r="F93" s="23">
        <v>24</v>
      </c>
      <c r="G93" s="23" t="s">
        <v>7</v>
      </c>
      <c r="H93" s="24"/>
      <c r="I93" s="29">
        <v>450</v>
      </c>
      <c r="J93" s="29">
        <f>I93*F93</f>
        <v>10800</v>
      </c>
      <c r="L93" s="35"/>
      <c r="M93" s="35"/>
      <c r="N93" s="35"/>
      <c r="P93" s="29"/>
      <c r="Q93" s="29"/>
      <c r="R93" s="29"/>
      <c r="T93" s="29"/>
      <c r="U93" s="29"/>
      <c r="V93" s="29"/>
    </row>
    <row r="94" spans="1:22" x14ac:dyDescent="0.3">
      <c r="A94" s="38"/>
      <c r="B94" s="38"/>
      <c r="C94" s="9"/>
      <c r="D94" s="12"/>
      <c r="E94" s="14" t="s">
        <v>65</v>
      </c>
      <c r="F94" s="15">
        <f>F93</f>
        <v>24</v>
      </c>
      <c r="G94" s="15" t="s">
        <v>16</v>
      </c>
      <c r="H94" s="16">
        <v>0.2</v>
      </c>
      <c r="I94" s="30">
        <f>H94*$I$93</f>
        <v>90</v>
      </c>
      <c r="J94" s="30">
        <f>F94*I94</f>
        <v>2160</v>
      </c>
      <c r="L94" s="36"/>
      <c r="M94" s="37"/>
      <c r="N94" s="36"/>
      <c r="P94" s="30"/>
      <c r="Q94" s="32"/>
      <c r="R94" s="30"/>
      <c r="T94" s="30"/>
      <c r="U94" s="30"/>
      <c r="V94" s="30"/>
    </row>
    <row r="95" spans="1:22" x14ac:dyDescent="0.3">
      <c r="A95" s="38"/>
      <c r="B95" s="38"/>
      <c r="C95" s="9"/>
      <c r="D95" s="12"/>
      <c r="E95" s="14" t="s">
        <v>66</v>
      </c>
      <c r="F95" s="15">
        <f>F94</f>
        <v>24</v>
      </c>
      <c r="G95" s="15" t="s">
        <v>16</v>
      </c>
      <c r="H95" s="16">
        <v>0.6</v>
      </c>
      <c r="I95" s="30">
        <f>H95*$I$93</f>
        <v>270</v>
      </c>
      <c r="J95" s="30">
        <f t="shared" ref="J95:J97" si="32">F95*I95</f>
        <v>6480</v>
      </c>
      <c r="L95" s="36"/>
      <c r="M95" s="37"/>
      <c r="N95" s="36"/>
      <c r="P95" s="30"/>
      <c r="Q95" s="32"/>
      <c r="R95" s="30"/>
      <c r="T95" s="30"/>
      <c r="U95" s="30"/>
      <c r="V95" s="30"/>
    </row>
    <row r="96" spans="1:22" x14ac:dyDescent="0.3">
      <c r="A96" s="38"/>
      <c r="B96" s="38"/>
      <c r="C96" s="9"/>
      <c r="D96" s="12"/>
      <c r="E96" s="14" t="s">
        <v>67</v>
      </c>
      <c r="F96" s="15">
        <f>F95</f>
        <v>24</v>
      </c>
      <c r="G96" s="15" t="s">
        <v>16</v>
      </c>
      <c r="H96" s="16">
        <v>0.15</v>
      </c>
      <c r="I96" s="30">
        <f>H96*$I$93</f>
        <v>67.5</v>
      </c>
      <c r="J96" s="30">
        <f t="shared" si="32"/>
        <v>1620</v>
      </c>
      <c r="L96" s="36"/>
      <c r="M96" s="37"/>
      <c r="N96" s="36"/>
      <c r="P96" s="30"/>
      <c r="Q96" s="32"/>
      <c r="R96" s="30"/>
      <c r="T96" s="30"/>
      <c r="U96" s="30"/>
      <c r="V96" s="30"/>
    </row>
    <row r="97" spans="1:22" x14ac:dyDescent="0.3">
      <c r="A97" s="39"/>
      <c r="B97" s="39"/>
      <c r="C97" s="6"/>
      <c r="D97" s="13"/>
      <c r="E97" s="14" t="s">
        <v>68</v>
      </c>
      <c r="F97" s="15">
        <f>F96</f>
        <v>24</v>
      </c>
      <c r="G97" s="15" t="s">
        <v>16</v>
      </c>
      <c r="H97" s="16">
        <v>0.05</v>
      </c>
      <c r="I97" s="30">
        <f>H97*$I$93</f>
        <v>22.5</v>
      </c>
      <c r="J97" s="30">
        <f t="shared" si="32"/>
        <v>540</v>
      </c>
      <c r="L97" s="36"/>
      <c r="M97" s="37"/>
      <c r="N97" s="36"/>
      <c r="P97" s="30"/>
      <c r="Q97" s="32"/>
      <c r="R97" s="30"/>
      <c r="T97" s="30"/>
      <c r="U97" s="30"/>
      <c r="V97" s="30"/>
    </row>
    <row r="98" spans="1:22" x14ac:dyDescent="0.3">
      <c r="A98" s="3">
        <v>6</v>
      </c>
      <c r="B98" s="3"/>
      <c r="C98" s="5"/>
      <c r="D98" s="42" t="s">
        <v>69</v>
      </c>
      <c r="E98" s="41"/>
      <c r="F98" s="41"/>
      <c r="G98" s="41"/>
      <c r="H98" s="41"/>
      <c r="I98" s="41"/>
      <c r="J98" s="43"/>
    </row>
    <row r="99" spans="1:22" ht="56.25" x14ac:dyDescent="0.3">
      <c r="A99" s="20"/>
      <c r="B99" s="20" t="s">
        <v>36</v>
      </c>
      <c r="C99" s="20"/>
      <c r="D99" s="21" t="s">
        <v>70</v>
      </c>
      <c r="E99" s="22"/>
      <c r="F99" s="23">
        <v>1</v>
      </c>
      <c r="G99" s="23" t="s">
        <v>16</v>
      </c>
      <c r="H99" s="24"/>
      <c r="I99" s="29">
        <v>20350</v>
      </c>
      <c r="J99" s="29">
        <f>F99*I99</f>
        <v>20350</v>
      </c>
      <c r="L99" s="35"/>
      <c r="M99" s="35"/>
      <c r="N99" s="35"/>
      <c r="P99" s="29"/>
      <c r="Q99" s="29"/>
      <c r="R99" s="29"/>
      <c r="T99" s="29"/>
      <c r="U99" s="29"/>
      <c r="V99" s="29"/>
    </row>
    <row r="100" spans="1:22" x14ac:dyDescent="0.3">
      <c r="A100" s="38"/>
      <c r="B100" s="38"/>
      <c r="C100" s="9"/>
      <c r="D100" s="12"/>
      <c r="E100" s="14" t="s">
        <v>41</v>
      </c>
      <c r="F100" s="15">
        <f>F99</f>
        <v>1</v>
      </c>
      <c r="G100" s="15" t="s">
        <v>16</v>
      </c>
      <c r="H100" s="16">
        <v>0.2</v>
      </c>
      <c r="I100" s="30">
        <f>H100*$I$99</f>
        <v>4070</v>
      </c>
      <c r="J100" s="30">
        <f>F100*I100</f>
        <v>4070</v>
      </c>
      <c r="L100" s="36"/>
      <c r="M100" s="37"/>
      <c r="N100" s="36"/>
      <c r="P100" s="30"/>
      <c r="Q100" s="32"/>
      <c r="R100" s="30"/>
      <c r="T100" s="30"/>
      <c r="U100" s="30"/>
      <c r="V100" s="30"/>
    </row>
    <row r="101" spans="1:22" x14ac:dyDescent="0.3">
      <c r="A101" s="38"/>
      <c r="B101" s="38"/>
      <c r="C101" s="9"/>
      <c r="D101" s="12"/>
      <c r="E101" s="14" t="s">
        <v>61</v>
      </c>
      <c r="F101" s="15">
        <f>F100</f>
        <v>1</v>
      </c>
      <c r="G101" s="15" t="s">
        <v>16</v>
      </c>
      <c r="H101" s="16">
        <v>0.2</v>
      </c>
      <c r="I101" s="30">
        <f>H101*$I$99</f>
        <v>4070</v>
      </c>
      <c r="J101" s="30">
        <f t="shared" ref="J101:J104" si="33">F101*I101</f>
        <v>4070</v>
      </c>
      <c r="L101" s="36"/>
      <c r="M101" s="37"/>
      <c r="N101" s="36"/>
      <c r="P101" s="30"/>
      <c r="Q101" s="32"/>
      <c r="R101" s="30"/>
      <c r="T101" s="30"/>
      <c r="U101" s="30"/>
      <c r="V101" s="30"/>
    </row>
    <row r="102" spans="1:22" x14ac:dyDescent="0.3">
      <c r="A102" s="38"/>
      <c r="B102" s="38"/>
      <c r="C102" s="9"/>
      <c r="D102" s="12"/>
      <c r="E102" s="14" t="s">
        <v>63</v>
      </c>
      <c r="F102" s="15">
        <f>F101</f>
        <v>1</v>
      </c>
      <c r="G102" s="15" t="s">
        <v>16</v>
      </c>
      <c r="H102" s="16">
        <v>0.1</v>
      </c>
      <c r="I102" s="30">
        <f t="shared" ref="I102:I104" si="34">H102*$I$99</f>
        <v>2035</v>
      </c>
      <c r="J102" s="30">
        <f t="shared" si="33"/>
        <v>2035</v>
      </c>
      <c r="L102" s="36"/>
      <c r="M102" s="37"/>
      <c r="N102" s="36"/>
      <c r="P102" s="30"/>
      <c r="Q102" s="32"/>
      <c r="R102" s="30"/>
      <c r="T102" s="30"/>
      <c r="U102" s="30"/>
      <c r="V102" s="30"/>
    </row>
    <row r="103" spans="1:22" x14ac:dyDescent="0.3">
      <c r="A103" s="38"/>
      <c r="B103" s="38"/>
      <c r="C103" s="9"/>
      <c r="D103" s="12"/>
      <c r="E103" s="14" t="s">
        <v>62</v>
      </c>
      <c r="F103" s="15">
        <f>F102</f>
        <v>1</v>
      </c>
      <c r="G103" s="15" t="s">
        <v>16</v>
      </c>
      <c r="H103" s="16">
        <v>0.2</v>
      </c>
      <c r="I103" s="30">
        <f t="shared" si="34"/>
        <v>4070</v>
      </c>
      <c r="J103" s="30">
        <f t="shared" si="33"/>
        <v>4070</v>
      </c>
      <c r="L103" s="36"/>
      <c r="M103" s="37"/>
      <c r="N103" s="36"/>
      <c r="P103" s="30"/>
      <c r="Q103" s="32"/>
      <c r="R103" s="30"/>
      <c r="T103" s="30"/>
      <c r="U103" s="30"/>
      <c r="V103" s="30"/>
    </row>
    <row r="104" spans="1:22" x14ac:dyDescent="0.3">
      <c r="A104" s="39"/>
      <c r="B104" s="39"/>
      <c r="C104" s="6"/>
      <c r="D104" s="13"/>
      <c r="E104" s="14" t="s">
        <v>64</v>
      </c>
      <c r="F104" s="15">
        <f>F102</f>
        <v>1</v>
      </c>
      <c r="G104" s="15" t="s">
        <v>16</v>
      </c>
      <c r="H104" s="16">
        <v>0.3</v>
      </c>
      <c r="I104" s="30">
        <f t="shared" si="34"/>
        <v>6105</v>
      </c>
      <c r="J104" s="30">
        <f t="shared" si="33"/>
        <v>6105</v>
      </c>
      <c r="L104" s="36"/>
      <c r="M104" s="37"/>
      <c r="N104" s="36"/>
      <c r="P104" s="30"/>
      <c r="Q104" s="32"/>
      <c r="R104" s="30"/>
      <c r="T104" s="30"/>
      <c r="U104" s="30"/>
      <c r="V104" s="30"/>
    </row>
    <row r="105" spans="1:22" ht="56.25" x14ac:dyDescent="0.3">
      <c r="A105" s="20">
        <v>7</v>
      </c>
      <c r="B105" s="20" t="s">
        <v>36</v>
      </c>
      <c r="C105" s="20"/>
      <c r="D105" s="21" t="s">
        <v>73</v>
      </c>
      <c r="E105" s="22"/>
      <c r="F105" s="23">
        <v>1</v>
      </c>
      <c r="G105" s="23" t="s">
        <v>16</v>
      </c>
      <c r="H105" s="24"/>
      <c r="I105" s="29">
        <v>4530</v>
      </c>
      <c r="J105" s="29">
        <f>F105*I105</f>
        <v>4530</v>
      </c>
      <c r="L105" s="35"/>
      <c r="M105" s="35"/>
      <c r="N105" s="35"/>
      <c r="P105" s="29"/>
      <c r="Q105" s="29"/>
      <c r="R105" s="29"/>
      <c r="T105" s="29"/>
      <c r="U105" s="29"/>
      <c r="V105" s="29"/>
    </row>
    <row r="106" spans="1:22" x14ac:dyDescent="0.3">
      <c r="A106" s="38"/>
      <c r="B106" s="38"/>
      <c r="C106" s="9"/>
      <c r="D106" s="12"/>
      <c r="E106" s="14" t="s">
        <v>41</v>
      </c>
      <c r="F106" s="15">
        <f>F105</f>
        <v>1</v>
      </c>
      <c r="G106" s="15" t="s">
        <v>16</v>
      </c>
      <c r="H106" s="16">
        <v>0.3</v>
      </c>
      <c r="I106" s="30">
        <f>H106*$I$105</f>
        <v>1359</v>
      </c>
      <c r="J106" s="30">
        <f>F106*I106</f>
        <v>1359</v>
      </c>
      <c r="L106" s="36"/>
      <c r="M106" s="37"/>
      <c r="N106" s="36"/>
      <c r="P106" s="30"/>
      <c r="Q106" s="32"/>
      <c r="R106" s="30"/>
      <c r="T106" s="30"/>
      <c r="U106" s="30"/>
      <c r="V106" s="30"/>
    </row>
    <row r="107" spans="1:22" x14ac:dyDescent="0.3">
      <c r="A107" s="38"/>
      <c r="B107" s="38"/>
      <c r="C107" s="9"/>
      <c r="D107" s="12"/>
      <c r="E107" s="14" t="s">
        <v>72</v>
      </c>
      <c r="F107" s="15">
        <f>F106</f>
        <v>1</v>
      </c>
      <c r="G107" s="15" t="s">
        <v>16</v>
      </c>
      <c r="H107" s="16">
        <v>0.3</v>
      </c>
      <c r="I107" s="30">
        <f>H107*$I$105</f>
        <v>1359</v>
      </c>
      <c r="J107" s="30">
        <f t="shared" ref="J107:J108" si="35">F107*I107</f>
        <v>1359</v>
      </c>
      <c r="L107" s="36"/>
      <c r="M107" s="37"/>
      <c r="N107" s="36"/>
      <c r="P107" s="30"/>
      <c r="Q107" s="32"/>
      <c r="R107" s="30"/>
      <c r="T107" s="30"/>
      <c r="U107" s="30"/>
      <c r="V107" s="30"/>
    </row>
    <row r="108" spans="1:22" x14ac:dyDescent="0.3">
      <c r="A108" s="39"/>
      <c r="B108" s="39"/>
      <c r="C108" s="6"/>
      <c r="D108" s="13"/>
      <c r="E108" s="14" t="s">
        <v>64</v>
      </c>
      <c r="F108" s="15">
        <f>F107</f>
        <v>1</v>
      </c>
      <c r="G108" s="15" t="s">
        <v>16</v>
      </c>
      <c r="H108" s="16">
        <v>0.4</v>
      </c>
      <c r="I108" s="30">
        <f t="shared" ref="I108" si="36">H108*$I$105</f>
        <v>1812</v>
      </c>
      <c r="J108" s="30">
        <f t="shared" si="35"/>
        <v>1812</v>
      </c>
      <c r="L108" s="36"/>
      <c r="M108" s="37"/>
      <c r="N108" s="36"/>
      <c r="P108" s="30"/>
      <c r="Q108" s="32"/>
      <c r="R108" s="30"/>
      <c r="T108" s="30"/>
      <c r="U108" s="30"/>
      <c r="V108" s="30"/>
    </row>
    <row r="109" spans="1:22" ht="93.75" x14ac:dyDescent="0.3">
      <c r="A109" s="20">
        <v>8</v>
      </c>
      <c r="B109" s="20" t="s">
        <v>36</v>
      </c>
      <c r="C109" s="20"/>
      <c r="D109" s="21" t="s">
        <v>71</v>
      </c>
      <c r="E109" s="22"/>
      <c r="F109" s="23">
        <v>1</v>
      </c>
      <c r="G109" s="23" t="s">
        <v>16</v>
      </c>
      <c r="H109" s="24"/>
      <c r="I109" s="29">
        <v>5850</v>
      </c>
      <c r="J109" s="29">
        <f>F109*I109</f>
        <v>5850</v>
      </c>
      <c r="L109" s="35"/>
      <c r="M109" s="35"/>
      <c r="N109" s="35"/>
      <c r="P109" s="29"/>
      <c r="Q109" s="29"/>
      <c r="R109" s="29"/>
      <c r="T109" s="29"/>
      <c r="U109" s="29"/>
      <c r="V109" s="29"/>
    </row>
    <row r="110" spans="1:22" x14ac:dyDescent="0.3">
      <c r="A110" s="38"/>
      <c r="B110" s="38"/>
      <c r="C110" s="9"/>
      <c r="D110" s="12"/>
      <c r="E110" s="14" t="s">
        <v>41</v>
      </c>
      <c r="F110" s="15">
        <f>F109</f>
        <v>1</v>
      </c>
      <c r="G110" s="15" t="s">
        <v>16</v>
      </c>
      <c r="H110" s="16">
        <v>0.3</v>
      </c>
      <c r="I110" s="30">
        <f>H110*$I$109</f>
        <v>1755</v>
      </c>
      <c r="J110" s="30">
        <f>F110*I110</f>
        <v>1755</v>
      </c>
      <c r="L110" s="36"/>
      <c r="M110" s="37"/>
      <c r="N110" s="36"/>
      <c r="P110" s="30"/>
      <c r="Q110" s="32"/>
      <c r="R110" s="30"/>
      <c r="T110" s="30"/>
      <c r="U110" s="30"/>
      <c r="V110" s="30"/>
    </row>
    <row r="111" spans="1:22" x14ac:dyDescent="0.3">
      <c r="A111" s="38"/>
      <c r="B111" s="38"/>
      <c r="C111" s="9"/>
      <c r="D111" s="12"/>
      <c r="E111" s="14" t="s">
        <v>72</v>
      </c>
      <c r="F111" s="15">
        <f>F110</f>
        <v>1</v>
      </c>
      <c r="G111" s="15" t="s">
        <v>16</v>
      </c>
      <c r="H111" s="16">
        <v>0.3</v>
      </c>
      <c r="I111" s="30">
        <f>H111*$I$109</f>
        <v>1755</v>
      </c>
      <c r="J111" s="30">
        <f t="shared" ref="J111:J112" si="37">F111*I111</f>
        <v>1755</v>
      </c>
      <c r="L111" s="36"/>
      <c r="M111" s="37"/>
      <c r="N111" s="36"/>
      <c r="P111" s="30"/>
      <c r="Q111" s="32"/>
      <c r="R111" s="30"/>
      <c r="T111" s="30"/>
      <c r="U111" s="30"/>
      <c r="V111" s="30"/>
    </row>
    <row r="112" spans="1:22" x14ac:dyDescent="0.3">
      <c r="A112" s="39"/>
      <c r="B112" s="39"/>
      <c r="C112" s="6"/>
      <c r="D112" s="13"/>
      <c r="E112" s="14" t="s">
        <v>64</v>
      </c>
      <c r="F112" s="15">
        <f>F111</f>
        <v>1</v>
      </c>
      <c r="G112" s="15" t="s">
        <v>16</v>
      </c>
      <c r="H112" s="16">
        <v>0.4</v>
      </c>
      <c r="I112" s="30">
        <f>H112*$I$109</f>
        <v>2340</v>
      </c>
      <c r="J112" s="30">
        <f t="shared" si="37"/>
        <v>2340</v>
      </c>
      <c r="L112" s="36"/>
      <c r="M112" s="37"/>
      <c r="N112" s="36"/>
      <c r="P112" s="30"/>
      <c r="Q112" s="32"/>
      <c r="R112" s="30"/>
      <c r="T112" s="30"/>
      <c r="U112" s="30"/>
      <c r="V112" s="30"/>
    </row>
    <row r="113" spans="1:22" ht="75" x14ac:dyDescent="0.3">
      <c r="A113" s="20">
        <v>9</v>
      </c>
      <c r="B113" s="20" t="s">
        <v>36</v>
      </c>
      <c r="C113" s="20"/>
      <c r="D113" s="21" t="s">
        <v>74</v>
      </c>
      <c r="E113" s="22"/>
      <c r="F113" s="23">
        <v>1</v>
      </c>
      <c r="G113" s="23" t="s">
        <v>16</v>
      </c>
      <c r="H113" s="24"/>
      <c r="I113" s="29">
        <v>5000</v>
      </c>
      <c r="J113" s="29">
        <f>F113*I113</f>
        <v>5000</v>
      </c>
      <c r="L113" s="35"/>
      <c r="M113" s="35"/>
      <c r="N113" s="35"/>
      <c r="P113" s="29"/>
      <c r="Q113" s="29"/>
      <c r="R113" s="29"/>
      <c r="T113" s="29"/>
      <c r="U113" s="29"/>
      <c r="V113" s="29"/>
    </row>
    <row r="114" spans="1:22" x14ac:dyDescent="0.3">
      <c r="A114" s="38"/>
      <c r="B114" s="38"/>
      <c r="C114" s="9"/>
      <c r="D114" s="12"/>
      <c r="E114" s="14" t="s">
        <v>41</v>
      </c>
      <c r="F114" s="15">
        <f>F113</f>
        <v>1</v>
      </c>
      <c r="G114" s="15" t="s">
        <v>16</v>
      </c>
      <c r="H114" s="16">
        <v>0.3</v>
      </c>
      <c r="I114" s="30">
        <f>H114*$I$113</f>
        <v>1500</v>
      </c>
      <c r="J114" s="30">
        <f>F114*I114</f>
        <v>1500</v>
      </c>
      <c r="L114" s="36"/>
      <c r="M114" s="37"/>
      <c r="N114" s="36"/>
      <c r="P114" s="30"/>
      <c r="Q114" s="32"/>
      <c r="R114" s="30"/>
      <c r="T114" s="30"/>
      <c r="U114" s="30"/>
      <c r="V114" s="30"/>
    </row>
    <row r="115" spans="1:22" x14ac:dyDescent="0.3">
      <c r="A115" s="38"/>
      <c r="B115" s="38"/>
      <c r="C115" s="9"/>
      <c r="D115" s="12"/>
      <c r="E115" s="14" t="s">
        <v>72</v>
      </c>
      <c r="F115" s="15">
        <f>F114</f>
        <v>1</v>
      </c>
      <c r="G115" s="15" t="s">
        <v>16</v>
      </c>
      <c r="H115" s="16">
        <v>0.3</v>
      </c>
      <c r="I115" s="30">
        <f>H115*$I$113</f>
        <v>1500</v>
      </c>
      <c r="J115" s="30">
        <f t="shared" ref="J115:J116" si="38">F115*I115</f>
        <v>1500</v>
      </c>
      <c r="L115" s="36"/>
      <c r="M115" s="37"/>
      <c r="N115" s="36"/>
      <c r="P115" s="30"/>
      <c r="Q115" s="32"/>
      <c r="R115" s="30"/>
      <c r="T115" s="30"/>
      <c r="U115" s="30"/>
      <c r="V115" s="30"/>
    </row>
    <row r="116" spans="1:22" x14ac:dyDescent="0.3">
      <c r="A116" s="39"/>
      <c r="B116" s="39"/>
      <c r="C116" s="6"/>
      <c r="D116" s="13"/>
      <c r="E116" s="14" t="s">
        <v>64</v>
      </c>
      <c r="F116" s="15">
        <f>F115</f>
        <v>1</v>
      </c>
      <c r="G116" s="15" t="s">
        <v>16</v>
      </c>
      <c r="H116" s="16">
        <v>0.4</v>
      </c>
      <c r="I116" s="30">
        <f>H116*$I$113</f>
        <v>2000</v>
      </c>
      <c r="J116" s="30">
        <f t="shared" si="38"/>
        <v>2000</v>
      </c>
      <c r="L116" s="36"/>
      <c r="M116" s="37"/>
      <c r="N116" s="36"/>
      <c r="P116" s="30"/>
      <c r="Q116" s="32"/>
      <c r="R116" s="30"/>
      <c r="T116" s="30"/>
      <c r="U116" s="30"/>
      <c r="V116" s="30"/>
    </row>
    <row r="117" spans="1:22" ht="56.25" x14ac:dyDescent="0.3">
      <c r="A117" s="20">
        <v>10</v>
      </c>
      <c r="B117" s="20" t="s">
        <v>36</v>
      </c>
      <c r="C117" s="20"/>
      <c r="D117" s="21" t="s">
        <v>75</v>
      </c>
      <c r="E117" s="22"/>
      <c r="F117" s="23">
        <v>1</v>
      </c>
      <c r="G117" s="23" t="s">
        <v>16</v>
      </c>
      <c r="H117" s="24"/>
      <c r="I117" s="29">
        <v>3350</v>
      </c>
      <c r="J117" s="29">
        <f>F117*I117</f>
        <v>3350</v>
      </c>
      <c r="L117" s="35"/>
      <c r="M117" s="35"/>
      <c r="N117" s="35"/>
      <c r="P117" s="29"/>
      <c r="Q117" s="29"/>
      <c r="R117" s="29"/>
      <c r="T117" s="29"/>
      <c r="U117" s="29"/>
      <c r="V117" s="29"/>
    </row>
    <row r="118" spans="1:22" x14ac:dyDescent="0.3">
      <c r="A118" s="38"/>
      <c r="B118" s="38"/>
      <c r="C118" s="9"/>
      <c r="D118" s="12"/>
      <c r="E118" s="14" t="s">
        <v>41</v>
      </c>
      <c r="F118" s="15">
        <f>F117</f>
        <v>1</v>
      </c>
      <c r="G118" s="15" t="s">
        <v>16</v>
      </c>
      <c r="H118" s="16">
        <v>0.3</v>
      </c>
      <c r="I118" s="30">
        <f>H118*$I$117</f>
        <v>1005</v>
      </c>
      <c r="J118" s="30">
        <f>F118*I118</f>
        <v>1005</v>
      </c>
      <c r="L118" s="36"/>
      <c r="M118" s="37"/>
      <c r="N118" s="36"/>
      <c r="P118" s="30"/>
      <c r="Q118" s="32"/>
      <c r="R118" s="30"/>
      <c r="T118" s="30"/>
      <c r="U118" s="30"/>
      <c r="V118" s="30"/>
    </row>
    <row r="119" spans="1:22" x14ac:dyDescent="0.3">
      <c r="A119" s="38"/>
      <c r="B119" s="38"/>
      <c r="C119" s="9"/>
      <c r="D119" s="12"/>
      <c r="E119" s="14" t="s">
        <v>72</v>
      </c>
      <c r="F119" s="15">
        <f>F118</f>
        <v>1</v>
      </c>
      <c r="G119" s="15" t="s">
        <v>16</v>
      </c>
      <c r="H119" s="16">
        <v>0.3</v>
      </c>
      <c r="I119" s="30">
        <f>H119*$I$117</f>
        <v>1005</v>
      </c>
      <c r="J119" s="30">
        <f t="shared" ref="J119:J120" si="39">F119*I119</f>
        <v>1005</v>
      </c>
      <c r="L119" s="36"/>
      <c r="M119" s="37"/>
      <c r="N119" s="36"/>
      <c r="P119" s="30"/>
      <c r="Q119" s="32"/>
      <c r="R119" s="30"/>
      <c r="T119" s="30"/>
      <c r="U119" s="30"/>
      <c r="V119" s="30"/>
    </row>
    <row r="120" spans="1:22" x14ac:dyDescent="0.3">
      <c r="A120" s="39"/>
      <c r="B120" s="39"/>
      <c r="C120" s="6"/>
      <c r="D120" s="13"/>
      <c r="E120" s="14" t="s">
        <v>64</v>
      </c>
      <c r="F120" s="15">
        <f>F119</f>
        <v>1</v>
      </c>
      <c r="G120" s="15" t="s">
        <v>16</v>
      </c>
      <c r="H120" s="16">
        <v>0.4</v>
      </c>
      <c r="I120" s="30">
        <f>H120*$I$117</f>
        <v>1340</v>
      </c>
      <c r="J120" s="30">
        <f t="shared" si="39"/>
        <v>1340</v>
      </c>
      <c r="L120" s="36"/>
      <c r="M120" s="37"/>
      <c r="N120" s="36"/>
      <c r="P120" s="30"/>
      <c r="Q120" s="32"/>
      <c r="R120" s="30"/>
      <c r="T120" s="30"/>
      <c r="U120" s="30"/>
      <c r="V120" s="30"/>
    </row>
    <row r="121" spans="1:22" ht="75" x14ac:dyDescent="0.3">
      <c r="A121" s="20">
        <v>11</v>
      </c>
      <c r="B121" s="20" t="s">
        <v>36</v>
      </c>
      <c r="C121" s="20"/>
      <c r="D121" s="21" t="s">
        <v>76</v>
      </c>
      <c r="E121" s="22"/>
      <c r="F121" s="23">
        <v>1</v>
      </c>
      <c r="G121" s="23" t="s">
        <v>16</v>
      </c>
      <c r="H121" s="24"/>
      <c r="I121" s="29">
        <v>6905</v>
      </c>
      <c r="J121" s="29">
        <f>F121*I121</f>
        <v>6905</v>
      </c>
      <c r="L121" s="35"/>
      <c r="M121" s="35"/>
      <c r="N121" s="35"/>
      <c r="P121" s="29"/>
      <c r="Q121" s="29"/>
      <c r="R121" s="29"/>
      <c r="T121" s="29"/>
      <c r="U121" s="29"/>
      <c r="V121" s="29"/>
    </row>
    <row r="122" spans="1:22" x14ac:dyDescent="0.3">
      <c r="A122" s="38"/>
      <c r="B122" s="38"/>
      <c r="C122" s="9"/>
      <c r="D122" s="12"/>
      <c r="E122" s="14" t="s">
        <v>41</v>
      </c>
      <c r="F122" s="15">
        <f>F121</f>
        <v>1</v>
      </c>
      <c r="G122" s="15" t="s">
        <v>16</v>
      </c>
      <c r="H122" s="16">
        <v>0.3</v>
      </c>
      <c r="I122" s="30">
        <f>H122*$I$121</f>
        <v>2071.5</v>
      </c>
      <c r="J122" s="30">
        <f>F122*I122</f>
        <v>2071.5</v>
      </c>
      <c r="L122" s="36"/>
      <c r="M122" s="37"/>
      <c r="N122" s="36"/>
      <c r="P122" s="30"/>
      <c r="Q122" s="32"/>
      <c r="R122" s="30"/>
      <c r="T122" s="30"/>
      <c r="U122" s="30"/>
      <c r="V122" s="30"/>
    </row>
    <row r="123" spans="1:22" x14ac:dyDescent="0.3">
      <c r="A123" s="38"/>
      <c r="B123" s="38"/>
      <c r="C123" s="9"/>
      <c r="D123" s="12"/>
      <c r="E123" s="14" t="s">
        <v>72</v>
      </c>
      <c r="F123" s="15">
        <f>F122</f>
        <v>1</v>
      </c>
      <c r="G123" s="15" t="s">
        <v>16</v>
      </c>
      <c r="H123" s="16">
        <v>0.3</v>
      </c>
      <c r="I123" s="30">
        <f>H123*$I$121</f>
        <v>2071.5</v>
      </c>
      <c r="J123" s="30">
        <f t="shared" ref="J123:J124" si="40">F123*I123</f>
        <v>2071.5</v>
      </c>
      <c r="L123" s="36"/>
      <c r="M123" s="37"/>
      <c r="N123" s="36"/>
      <c r="P123" s="30"/>
      <c r="Q123" s="32"/>
      <c r="R123" s="30"/>
      <c r="T123" s="30"/>
      <c r="U123" s="30"/>
      <c r="V123" s="30"/>
    </row>
    <row r="124" spans="1:22" x14ac:dyDescent="0.3">
      <c r="A124" s="39"/>
      <c r="B124" s="39"/>
      <c r="C124" s="6"/>
      <c r="D124" s="13"/>
      <c r="E124" s="14" t="s">
        <v>64</v>
      </c>
      <c r="F124" s="15">
        <f>F123</f>
        <v>1</v>
      </c>
      <c r="G124" s="15" t="s">
        <v>16</v>
      </c>
      <c r="H124" s="16">
        <v>0.4</v>
      </c>
      <c r="I124" s="30">
        <f>H124*$I$121</f>
        <v>2762</v>
      </c>
      <c r="J124" s="30">
        <f t="shared" si="40"/>
        <v>2762</v>
      </c>
      <c r="L124" s="36"/>
      <c r="M124" s="37"/>
      <c r="N124" s="36"/>
      <c r="P124" s="30"/>
      <c r="Q124" s="32"/>
      <c r="R124" s="30"/>
      <c r="T124" s="30"/>
      <c r="U124" s="30"/>
      <c r="V124" s="30"/>
    </row>
    <row r="125" spans="1:22" ht="56.25" x14ac:dyDescent="0.3">
      <c r="A125" s="20">
        <v>12</v>
      </c>
      <c r="B125" s="20" t="s">
        <v>36</v>
      </c>
      <c r="C125" s="20"/>
      <c r="D125" s="21" t="s">
        <v>77</v>
      </c>
      <c r="E125" s="22"/>
      <c r="F125" s="23">
        <v>1</v>
      </c>
      <c r="G125" s="23" t="s">
        <v>16</v>
      </c>
      <c r="H125" s="24"/>
      <c r="I125" s="29">
        <v>7150</v>
      </c>
      <c r="J125" s="29">
        <f>F125*I125</f>
        <v>7150</v>
      </c>
      <c r="L125" s="35"/>
      <c r="M125" s="35"/>
      <c r="N125" s="35"/>
      <c r="P125" s="29"/>
      <c r="Q125" s="29"/>
      <c r="R125" s="29"/>
      <c r="T125" s="29"/>
      <c r="U125" s="29"/>
      <c r="V125" s="29"/>
    </row>
    <row r="126" spans="1:22" x14ac:dyDescent="0.3">
      <c r="A126" s="38"/>
      <c r="B126" s="38"/>
      <c r="C126" s="9"/>
      <c r="D126" s="12"/>
      <c r="E126" s="14" t="s">
        <v>41</v>
      </c>
      <c r="F126" s="15">
        <f>F125</f>
        <v>1</v>
      </c>
      <c r="G126" s="15" t="s">
        <v>16</v>
      </c>
      <c r="H126" s="16">
        <v>0.3</v>
      </c>
      <c r="I126" s="30">
        <f>H126*$I$125</f>
        <v>2145</v>
      </c>
      <c r="J126" s="30">
        <f>F126*I126</f>
        <v>2145</v>
      </c>
      <c r="L126" s="36"/>
      <c r="M126" s="37"/>
      <c r="N126" s="36"/>
      <c r="P126" s="30"/>
      <c r="Q126" s="32"/>
      <c r="R126" s="30"/>
      <c r="T126" s="30"/>
      <c r="U126" s="30"/>
      <c r="V126" s="30"/>
    </row>
    <row r="127" spans="1:22" x14ac:dyDescent="0.3">
      <c r="A127" s="38"/>
      <c r="B127" s="38"/>
      <c r="C127" s="9"/>
      <c r="D127" s="12"/>
      <c r="E127" s="14" t="s">
        <v>72</v>
      </c>
      <c r="F127" s="15">
        <f>F126</f>
        <v>1</v>
      </c>
      <c r="G127" s="15" t="s">
        <v>16</v>
      </c>
      <c r="H127" s="16">
        <v>0.3</v>
      </c>
      <c r="I127" s="30">
        <f>H127*$I$125</f>
        <v>2145</v>
      </c>
      <c r="J127" s="30">
        <f t="shared" ref="J127:J128" si="41">F127*I127</f>
        <v>2145</v>
      </c>
      <c r="L127" s="36"/>
      <c r="M127" s="37"/>
      <c r="N127" s="36"/>
      <c r="P127" s="30"/>
      <c r="Q127" s="32"/>
      <c r="R127" s="30"/>
      <c r="T127" s="30"/>
      <c r="U127" s="30"/>
      <c r="V127" s="30"/>
    </row>
    <row r="128" spans="1:22" x14ac:dyDescent="0.3">
      <c r="A128" s="39"/>
      <c r="B128" s="39"/>
      <c r="C128" s="6"/>
      <c r="D128" s="13"/>
      <c r="E128" s="14" t="s">
        <v>64</v>
      </c>
      <c r="F128" s="15">
        <f>F127</f>
        <v>1</v>
      </c>
      <c r="G128" s="15" t="s">
        <v>16</v>
      </c>
      <c r="H128" s="16">
        <v>0.4</v>
      </c>
      <c r="I128" s="30">
        <f>H128*$I$125</f>
        <v>2860</v>
      </c>
      <c r="J128" s="30">
        <f t="shared" si="41"/>
        <v>2860</v>
      </c>
      <c r="L128" s="36"/>
      <c r="M128" s="37"/>
      <c r="N128" s="36"/>
      <c r="P128" s="30"/>
      <c r="Q128" s="32"/>
      <c r="R128" s="30"/>
      <c r="T128" s="30"/>
      <c r="U128" s="30"/>
      <c r="V128" s="30"/>
    </row>
    <row r="129" spans="1:22" ht="75" x14ac:dyDescent="0.3">
      <c r="A129" s="20">
        <v>13</v>
      </c>
      <c r="B129" s="20" t="s">
        <v>36</v>
      </c>
      <c r="C129" s="20"/>
      <c r="D129" s="21" t="s">
        <v>78</v>
      </c>
      <c r="E129" s="22"/>
      <c r="F129" s="23">
        <v>2</v>
      </c>
      <c r="G129" s="23" t="s">
        <v>16</v>
      </c>
      <c r="H129" s="24"/>
      <c r="I129" s="29">
        <v>5000</v>
      </c>
      <c r="J129" s="29">
        <f>F129*I129</f>
        <v>10000</v>
      </c>
      <c r="L129" s="35"/>
      <c r="M129" s="35"/>
      <c r="N129" s="35"/>
      <c r="P129" s="29"/>
      <c r="Q129" s="29"/>
      <c r="R129" s="29"/>
      <c r="T129" s="29"/>
      <c r="U129" s="29"/>
      <c r="V129" s="29"/>
    </row>
    <row r="130" spans="1:22" x14ac:dyDescent="0.3">
      <c r="A130" s="38"/>
      <c r="B130" s="38"/>
      <c r="C130" s="9"/>
      <c r="D130" s="12"/>
      <c r="E130" s="14" t="s">
        <v>41</v>
      </c>
      <c r="F130" s="15">
        <f>F129</f>
        <v>2</v>
      </c>
      <c r="G130" s="15" t="s">
        <v>16</v>
      </c>
      <c r="H130" s="16">
        <v>0.3</v>
      </c>
      <c r="I130" s="30">
        <f>H130*$I$129</f>
        <v>1500</v>
      </c>
      <c r="J130" s="30">
        <f>F130*I130</f>
        <v>3000</v>
      </c>
      <c r="L130" s="36"/>
      <c r="M130" s="37"/>
      <c r="N130" s="36"/>
      <c r="P130" s="30"/>
      <c r="Q130" s="32"/>
      <c r="R130" s="30"/>
      <c r="T130" s="30"/>
      <c r="U130" s="30"/>
      <c r="V130" s="30"/>
    </row>
    <row r="131" spans="1:22" x14ac:dyDescent="0.3">
      <c r="A131" s="38"/>
      <c r="B131" s="38"/>
      <c r="C131" s="9"/>
      <c r="D131" s="12"/>
      <c r="E131" s="14" t="s">
        <v>72</v>
      </c>
      <c r="F131" s="15">
        <f>F130</f>
        <v>2</v>
      </c>
      <c r="G131" s="15" t="s">
        <v>16</v>
      </c>
      <c r="H131" s="16">
        <v>0.3</v>
      </c>
      <c r="I131" s="30">
        <f>H131*$I$129</f>
        <v>1500</v>
      </c>
      <c r="J131" s="30">
        <f t="shared" ref="J131:J132" si="42">F131*I131</f>
        <v>3000</v>
      </c>
      <c r="L131" s="36"/>
      <c r="M131" s="37"/>
      <c r="N131" s="36"/>
      <c r="P131" s="30"/>
      <c r="Q131" s="32"/>
      <c r="R131" s="30"/>
      <c r="T131" s="30"/>
      <c r="U131" s="30"/>
      <c r="V131" s="30"/>
    </row>
    <row r="132" spans="1:22" x14ac:dyDescent="0.3">
      <c r="A132" s="39"/>
      <c r="B132" s="39"/>
      <c r="C132" s="6"/>
      <c r="D132" s="13"/>
      <c r="E132" s="14" t="s">
        <v>64</v>
      </c>
      <c r="F132" s="15">
        <f>F131</f>
        <v>2</v>
      </c>
      <c r="G132" s="15" t="s">
        <v>16</v>
      </c>
      <c r="H132" s="16">
        <v>0.4</v>
      </c>
      <c r="I132" s="30">
        <f>H132*$I$129</f>
        <v>2000</v>
      </c>
      <c r="J132" s="30">
        <f t="shared" si="42"/>
        <v>4000</v>
      </c>
      <c r="L132" s="36"/>
      <c r="M132" s="37"/>
      <c r="N132" s="36"/>
      <c r="P132" s="30"/>
      <c r="Q132" s="32"/>
      <c r="R132" s="30"/>
      <c r="T132" s="30"/>
      <c r="U132" s="30"/>
      <c r="V132" s="30"/>
    </row>
    <row r="133" spans="1:22" ht="56.25" x14ac:dyDescent="0.3">
      <c r="A133" s="20">
        <v>14</v>
      </c>
      <c r="B133" s="20" t="s">
        <v>36</v>
      </c>
      <c r="C133" s="20"/>
      <c r="D133" s="21" t="s">
        <v>79</v>
      </c>
      <c r="E133" s="22"/>
      <c r="F133" s="23">
        <v>1</v>
      </c>
      <c r="G133" s="23" t="s">
        <v>16</v>
      </c>
      <c r="H133" s="24"/>
      <c r="I133" s="29">
        <v>19880</v>
      </c>
      <c r="J133" s="29">
        <f>F133*I133</f>
        <v>19880</v>
      </c>
      <c r="L133" s="35"/>
      <c r="M133" s="35"/>
      <c r="N133" s="35"/>
      <c r="P133" s="29"/>
      <c r="Q133" s="29"/>
      <c r="R133" s="29"/>
      <c r="T133" s="29"/>
      <c r="U133" s="29"/>
      <c r="V133" s="29"/>
    </row>
    <row r="134" spans="1:22" x14ac:dyDescent="0.3">
      <c r="A134" s="38"/>
      <c r="B134" s="38"/>
      <c r="C134" s="9"/>
      <c r="D134" s="12"/>
      <c r="E134" s="14" t="s">
        <v>41</v>
      </c>
      <c r="F134" s="15">
        <f>F133</f>
        <v>1</v>
      </c>
      <c r="G134" s="15" t="s">
        <v>16</v>
      </c>
      <c r="H134" s="16">
        <v>0.3</v>
      </c>
      <c r="I134" s="30">
        <f>H134*$I$133</f>
        <v>5964</v>
      </c>
      <c r="J134" s="30">
        <f>F134*I134</f>
        <v>5964</v>
      </c>
      <c r="L134" s="36"/>
      <c r="M134" s="37"/>
      <c r="N134" s="36"/>
      <c r="P134" s="30"/>
      <c r="Q134" s="32"/>
      <c r="R134" s="30"/>
      <c r="T134" s="30"/>
      <c r="U134" s="30"/>
      <c r="V134" s="30"/>
    </row>
    <row r="135" spans="1:22" x14ac:dyDescent="0.3">
      <c r="A135" s="38"/>
      <c r="B135" s="38"/>
      <c r="C135" s="9"/>
      <c r="D135" s="12"/>
      <c r="E135" s="14" t="s">
        <v>72</v>
      </c>
      <c r="F135" s="15">
        <f>F134</f>
        <v>1</v>
      </c>
      <c r="G135" s="15" t="s">
        <v>16</v>
      </c>
      <c r="H135" s="16">
        <v>0.2</v>
      </c>
      <c r="I135" s="30">
        <f>H135*$I$133</f>
        <v>3976</v>
      </c>
      <c r="J135" s="30">
        <f t="shared" ref="J135:J136" si="43">F135*I135</f>
        <v>3976</v>
      </c>
      <c r="L135" s="36"/>
      <c r="M135" s="37"/>
      <c r="N135" s="36"/>
      <c r="P135" s="30"/>
      <c r="Q135" s="32"/>
      <c r="R135" s="30"/>
      <c r="T135" s="30"/>
      <c r="U135" s="30"/>
      <c r="V135" s="30"/>
    </row>
    <row r="136" spans="1:22" x14ac:dyDescent="0.3">
      <c r="A136" s="39"/>
      <c r="B136" s="39"/>
      <c r="C136" s="6"/>
      <c r="D136" s="13"/>
      <c r="E136" s="14" t="s">
        <v>64</v>
      </c>
      <c r="F136" s="15">
        <f>F135</f>
        <v>1</v>
      </c>
      <c r="G136" s="15" t="s">
        <v>16</v>
      </c>
      <c r="H136" s="16">
        <v>0.5</v>
      </c>
      <c r="I136" s="30">
        <f>H136*$I$133</f>
        <v>9940</v>
      </c>
      <c r="J136" s="30">
        <f t="shared" si="43"/>
        <v>9940</v>
      </c>
      <c r="L136" s="36"/>
      <c r="M136" s="37"/>
      <c r="N136" s="36"/>
      <c r="P136" s="30"/>
      <c r="Q136" s="32"/>
      <c r="R136" s="30"/>
      <c r="T136" s="30"/>
      <c r="U136" s="30"/>
      <c r="V136" s="30"/>
    </row>
    <row r="137" spans="1:22" ht="56.25" x14ac:dyDescent="0.3">
      <c r="A137" s="20">
        <v>15</v>
      </c>
      <c r="B137" s="20" t="s">
        <v>36</v>
      </c>
      <c r="C137" s="20"/>
      <c r="D137" s="21" t="s">
        <v>79</v>
      </c>
      <c r="E137" s="22"/>
      <c r="F137" s="23">
        <v>1</v>
      </c>
      <c r="G137" s="23" t="s">
        <v>16</v>
      </c>
      <c r="H137" s="24"/>
      <c r="I137" s="29">
        <v>22500</v>
      </c>
      <c r="J137" s="29">
        <f>F137*I137</f>
        <v>22500</v>
      </c>
      <c r="L137" s="35"/>
      <c r="M137" s="35"/>
      <c r="N137" s="35"/>
      <c r="P137" s="29"/>
      <c r="Q137" s="29"/>
      <c r="R137" s="29"/>
      <c r="T137" s="29"/>
      <c r="U137" s="29"/>
      <c r="V137" s="29"/>
    </row>
    <row r="138" spans="1:22" x14ac:dyDescent="0.3">
      <c r="A138" s="38"/>
      <c r="B138" s="38"/>
      <c r="C138" s="9"/>
      <c r="D138" s="12"/>
      <c r="E138" s="14" t="s">
        <v>41</v>
      </c>
      <c r="F138" s="15">
        <f>F137</f>
        <v>1</v>
      </c>
      <c r="G138" s="15" t="s">
        <v>16</v>
      </c>
      <c r="H138" s="16">
        <v>0.3</v>
      </c>
      <c r="I138" s="30">
        <f>H138*$I$137</f>
        <v>6750</v>
      </c>
      <c r="J138" s="30">
        <f>F138*I138</f>
        <v>6750</v>
      </c>
      <c r="L138" s="36"/>
      <c r="M138" s="37"/>
      <c r="N138" s="36"/>
      <c r="P138" s="30"/>
      <c r="Q138" s="32"/>
      <c r="R138" s="30"/>
      <c r="T138" s="30"/>
      <c r="U138" s="30"/>
      <c r="V138" s="30"/>
    </row>
    <row r="139" spans="1:22" x14ac:dyDescent="0.3">
      <c r="A139" s="38"/>
      <c r="B139" s="38"/>
      <c r="C139" s="9"/>
      <c r="D139" s="12"/>
      <c r="E139" s="14" t="s">
        <v>72</v>
      </c>
      <c r="F139" s="15">
        <f>F138</f>
        <v>1</v>
      </c>
      <c r="G139" s="15" t="s">
        <v>16</v>
      </c>
      <c r="H139" s="16">
        <v>0.2</v>
      </c>
      <c r="I139" s="30">
        <f>H139*$I$137</f>
        <v>4500</v>
      </c>
      <c r="J139" s="30">
        <f t="shared" ref="J139:J140" si="44">F139*I139</f>
        <v>4500</v>
      </c>
      <c r="L139" s="36"/>
      <c r="M139" s="37"/>
      <c r="N139" s="36"/>
      <c r="P139" s="30"/>
      <c r="Q139" s="32"/>
      <c r="R139" s="30"/>
      <c r="T139" s="30"/>
      <c r="U139" s="30"/>
      <c r="V139" s="30"/>
    </row>
    <row r="140" spans="1:22" x14ac:dyDescent="0.3">
      <c r="A140" s="39"/>
      <c r="B140" s="39"/>
      <c r="C140" s="6"/>
      <c r="D140" s="13"/>
      <c r="E140" s="14" t="s">
        <v>64</v>
      </c>
      <c r="F140" s="15">
        <f>F139</f>
        <v>1</v>
      </c>
      <c r="G140" s="15" t="s">
        <v>16</v>
      </c>
      <c r="H140" s="16">
        <v>0.5</v>
      </c>
      <c r="I140" s="30">
        <f>H140*$I$137</f>
        <v>11250</v>
      </c>
      <c r="J140" s="30">
        <f t="shared" si="44"/>
        <v>11250</v>
      </c>
      <c r="L140" s="36"/>
      <c r="M140" s="37"/>
      <c r="N140" s="36"/>
      <c r="P140" s="30"/>
      <c r="Q140" s="32"/>
      <c r="R140" s="30"/>
      <c r="T140" s="30"/>
      <c r="U140" s="30"/>
      <c r="V140" s="30"/>
    </row>
    <row r="141" spans="1:22" ht="56.25" x14ac:dyDescent="0.3">
      <c r="A141" s="20">
        <v>16</v>
      </c>
      <c r="B141" s="20" t="s">
        <v>36</v>
      </c>
      <c r="C141" s="20"/>
      <c r="D141" s="21" t="s">
        <v>80</v>
      </c>
      <c r="E141" s="22"/>
      <c r="F141" s="23">
        <v>1</v>
      </c>
      <c r="G141" s="23" t="s">
        <v>16</v>
      </c>
      <c r="H141" s="24"/>
      <c r="I141" s="29">
        <v>5600</v>
      </c>
      <c r="J141" s="29">
        <f>F141*I141</f>
        <v>5600</v>
      </c>
      <c r="L141" s="35"/>
      <c r="M141" s="35"/>
      <c r="N141" s="35"/>
      <c r="P141" s="29"/>
      <c r="Q141" s="29"/>
      <c r="R141" s="29"/>
      <c r="T141" s="29"/>
      <c r="U141" s="29"/>
      <c r="V141" s="29"/>
    </row>
    <row r="142" spans="1:22" x14ac:dyDescent="0.3">
      <c r="A142" s="38"/>
      <c r="B142" s="38"/>
      <c r="C142" s="9"/>
      <c r="D142" s="12"/>
      <c r="E142" s="14" t="s">
        <v>41</v>
      </c>
      <c r="F142" s="15">
        <f>F141</f>
        <v>1</v>
      </c>
      <c r="G142" s="15" t="s">
        <v>16</v>
      </c>
      <c r="H142" s="16">
        <v>0.3</v>
      </c>
      <c r="I142" s="30">
        <f>H142*$I$141</f>
        <v>1680</v>
      </c>
      <c r="J142" s="30">
        <f>F142*I142</f>
        <v>1680</v>
      </c>
      <c r="L142" s="36"/>
      <c r="M142" s="37"/>
      <c r="N142" s="36"/>
      <c r="P142" s="30"/>
      <c r="Q142" s="32"/>
      <c r="R142" s="30"/>
      <c r="T142" s="30"/>
      <c r="U142" s="30"/>
      <c r="V142" s="30"/>
    </row>
    <row r="143" spans="1:22" x14ac:dyDescent="0.3">
      <c r="A143" s="38"/>
      <c r="B143" s="38"/>
      <c r="C143" s="9"/>
      <c r="D143" s="12"/>
      <c r="E143" s="14" t="s">
        <v>72</v>
      </c>
      <c r="F143" s="15">
        <f>F142</f>
        <v>1</v>
      </c>
      <c r="G143" s="15" t="s">
        <v>16</v>
      </c>
      <c r="H143" s="16">
        <v>0.2</v>
      </c>
      <c r="I143" s="30">
        <f>H143*$I$141</f>
        <v>1120</v>
      </c>
      <c r="J143" s="30">
        <f t="shared" ref="J143:J144" si="45">F143*I143</f>
        <v>1120</v>
      </c>
      <c r="L143" s="36"/>
      <c r="M143" s="37"/>
      <c r="N143" s="36"/>
      <c r="P143" s="30"/>
      <c r="Q143" s="32"/>
      <c r="R143" s="30"/>
      <c r="T143" s="30"/>
      <c r="U143" s="30"/>
      <c r="V143" s="30"/>
    </row>
    <row r="144" spans="1:22" x14ac:dyDescent="0.3">
      <c r="A144" s="39"/>
      <c r="B144" s="39"/>
      <c r="C144" s="6"/>
      <c r="D144" s="13"/>
      <c r="E144" s="14" t="s">
        <v>64</v>
      </c>
      <c r="F144" s="15">
        <f>F143</f>
        <v>1</v>
      </c>
      <c r="G144" s="15" t="s">
        <v>16</v>
      </c>
      <c r="H144" s="16">
        <v>0.5</v>
      </c>
      <c r="I144" s="30">
        <f>H144*$I$141</f>
        <v>2800</v>
      </c>
      <c r="J144" s="30">
        <f t="shared" si="45"/>
        <v>2800</v>
      </c>
      <c r="L144" s="36"/>
      <c r="M144" s="37"/>
      <c r="N144" s="36"/>
      <c r="P144" s="30"/>
      <c r="Q144" s="32"/>
      <c r="R144" s="30"/>
      <c r="T144" s="30"/>
      <c r="U144" s="30"/>
      <c r="V144" s="30"/>
    </row>
    <row r="145" spans="1:22" ht="56.25" x14ac:dyDescent="0.3">
      <c r="A145" s="20">
        <v>17</v>
      </c>
      <c r="B145" s="20" t="s">
        <v>36</v>
      </c>
      <c r="C145" s="20"/>
      <c r="D145" s="21" t="s">
        <v>81</v>
      </c>
      <c r="E145" s="22"/>
      <c r="F145" s="23">
        <v>2</v>
      </c>
      <c r="G145" s="23" t="s">
        <v>16</v>
      </c>
      <c r="H145" s="24"/>
      <c r="I145" s="29">
        <v>6500</v>
      </c>
      <c r="J145" s="29">
        <f>F145*I145</f>
        <v>13000</v>
      </c>
      <c r="L145" s="35"/>
      <c r="M145" s="35"/>
      <c r="N145" s="35"/>
      <c r="P145" s="29"/>
      <c r="Q145" s="29"/>
      <c r="R145" s="29"/>
      <c r="T145" s="29"/>
      <c r="U145" s="29"/>
      <c r="V145" s="29"/>
    </row>
    <row r="146" spans="1:22" x14ac:dyDescent="0.3">
      <c r="A146" s="38"/>
      <c r="B146" s="38"/>
      <c r="C146" s="9"/>
      <c r="D146" s="12"/>
      <c r="E146" s="14" t="s">
        <v>41</v>
      </c>
      <c r="F146" s="15">
        <f>F145</f>
        <v>2</v>
      </c>
      <c r="G146" s="15" t="s">
        <v>16</v>
      </c>
      <c r="H146" s="16">
        <v>0.3</v>
      </c>
      <c r="I146" s="30">
        <f>H146*$I$145</f>
        <v>1950</v>
      </c>
      <c r="J146" s="30">
        <f>F146*I146</f>
        <v>3900</v>
      </c>
      <c r="L146" s="36"/>
      <c r="M146" s="37"/>
      <c r="N146" s="36"/>
      <c r="P146" s="30"/>
      <c r="Q146" s="32"/>
      <c r="R146" s="30"/>
      <c r="T146" s="30"/>
      <c r="U146" s="30"/>
      <c r="V146" s="30"/>
    </row>
    <row r="147" spans="1:22" x14ac:dyDescent="0.3">
      <c r="A147" s="38"/>
      <c r="B147" s="38"/>
      <c r="C147" s="9"/>
      <c r="D147" s="12"/>
      <c r="E147" s="14" t="s">
        <v>72</v>
      </c>
      <c r="F147" s="15">
        <f>F146</f>
        <v>2</v>
      </c>
      <c r="G147" s="15" t="s">
        <v>16</v>
      </c>
      <c r="H147" s="16">
        <v>0.2</v>
      </c>
      <c r="I147" s="30">
        <f>H147*$I$145</f>
        <v>1300</v>
      </c>
      <c r="J147" s="30">
        <f t="shared" ref="J147:J148" si="46">F147*I147</f>
        <v>2600</v>
      </c>
      <c r="L147" s="36"/>
      <c r="M147" s="37"/>
      <c r="N147" s="36"/>
      <c r="P147" s="30"/>
      <c r="Q147" s="32"/>
      <c r="R147" s="30"/>
      <c r="T147" s="30"/>
      <c r="U147" s="30"/>
      <c r="V147" s="30"/>
    </row>
    <row r="148" spans="1:22" x14ac:dyDescent="0.3">
      <c r="A148" s="39"/>
      <c r="B148" s="39"/>
      <c r="C148" s="6"/>
      <c r="D148" s="13"/>
      <c r="E148" s="14" t="s">
        <v>64</v>
      </c>
      <c r="F148" s="15">
        <f>F147</f>
        <v>2</v>
      </c>
      <c r="G148" s="15" t="s">
        <v>16</v>
      </c>
      <c r="H148" s="16">
        <v>0.5</v>
      </c>
      <c r="I148" s="30">
        <f>H148*$I$145</f>
        <v>3250</v>
      </c>
      <c r="J148" s="30">
        <f t="shared" si="46"/>
        <v>6500</v>
      </c>
      <c r="L148" s="36"/>
      <c r="M148" s="37"/>
      <c r="N148" s="36"/>
      <c r="P148" s="30"/>
      <c r="Q148" s="32"/>
      <c r="R148" s="30"/>
      <c r="T148" s="30"/>
      <c r="U148" s="30"/>
      <c r="V148" s="30"/>
    </row>
    <row r="149" spans="1:22" ht="56.25" x14ac:dyDescent="0.3">
      <c r="A149" s="20">
        <v>18</v>
      </c>
      <c r="B149" s="20" t="s">
        <v>36</v>
      </c>
      <c r="C149" s="20"/>
      <c r="D149" s="21" t="s">
        <v>82</v>
      </c>
      <c r="E149" s="22"/>
      <c r="F149" s="23">
        <v>1</v>
      </c>
      <c r="G149" s="23" t="s">
        <v>16</v>
      </c>
      <c r="H149" s="24"/>
      <c r="I149" s="29">
        <v>15000</v>
      </c>
      <c r="J149" s="29">
        <f>F149*I149</f>
        <v>15000</v>
      </c>
      <c r="L149" s="35"/>
      <c r="M149" s="35"/>
      <c r="N149" s="35"/>
      <c r="P149" s="29"/>
      <c r="Q149" s="29"/>
      <c r="R149" s="29"/>
      <c r="T149" s="29"/>
      <c r="U149" s="29"/>
      <c r="V149" s="29"/>
    </row>
    <row r="150" spans="1:22" x14ac:dyDescent="0.3">
      <c r="A150" s="38"/>
      <c r="B150" s="38"/>
      <c r="C150" s="9"/>
      <c r="D150" s="12"/>
      <c r="E150" s="14" t="s">
        <v>41</v>
      </c>
      <c r="F150" s="15">
        <f>F149</f>
        <v>1</v>
      </c>
      <c r="G150" s="15" t="s">
        <v>16</v>
      </c>
      <c r="H150" s="16">
        <v>0.3</v>
      </c>
      <c r="I150" s="30">
        <f>H150*$I$149</f>
        <v>4500</v>
      </c>
      <c r="J150" s="30">
        <f>F150*I150</f>
        <v>4500</v>
      </c>
      <c r="L150" s="36"/>
      <c r="M150" s="37"/>
      <c r="N150" s="36"/>
      <c r="P150" s="30"/>
      <c r="Q150" s="32"/>
      <c r="R150" s="30"/>
      <c r="T150" s="30"/>
      <c r="U150" s="30"/>
      <c r="V150" s="30"/>
    </row>
    <row r="151" spans="1:22" x14ac:dyDescent="0.3">
      <c r="A151" s="38"/>
      <c r="B151" s="38"/>
      <c r="C151" s="9"/>
      <c r="D151" s="12"/>
      <c r="E151" s="14" t="s">
        <v>72</v>
      </c>
      <c r="F151" s="15">
        <f>F150</f>
        <v>1</v>
      </c>
      <c r="G151" s="15" t="s">
        <v>16</v>
      </c>
      <c r="H151" s="16">
        <v>0.2</v>
      </c>
      <c r="I151" s="30">
        <f>H151*$I$149</f>
        <v>3000</v>
      </c>
      <c r="J151" s="30">
        <f t="shared" ref="J151:J152" si="47">F151*I151</f>
        <v>3000</v>
      </c>
      <c r="L151" s="36"/>
      <c r="M151" s="37"/>
      <c r="N151" s="36"/>
      <c r="P151" s="30"/>
      <c r="Q151" s="32"/>
      <c r="R151" s="30"/>
      <c r="T151" s="30"/>
      <c r="U151" s="30"/>
      <c r="V151" s="30"/>
    </row>
    <row r="152" spans="1:22" x14ac:dyDescent="0.3">
      <c r="A152" s="39"/>
      <c r="B152" s="39"/>
      <c r="C152" s="6"/>
      <c r="D152" s="13"/>
      <c r="E152" s="14" t="s">
        <v>64</v>
      </c>
      <c r="F152" s="15">
        <f>F151</f>
        <v>1</v>
      </c>
      <c r="G152" s="15" t="s">
        <v>16</v>
      </c>
      <c r="H152" s="16">
        <v>0.5</v>
      </c>
      <c r="I152" s="30">
        <f>H152*$I$149</f>
        <v>7500</v>
      </c>
      <c r="J152" s="30">
        <f t="shared" si="47"/>
        <v>7500</v>
      </c>
      <c r="L152" s="36"/>
      <c r="M152" s="37"/>
      <c r="N152" s="36"/>
      <c r="P152" s="30"/>
      <c r="Q152" s="32"/>
      <c r="R152" s="30"/>
      <c r="T152" s="30"/>
      <c r="U152" s="30"/>
      <c r="V152" s="30"/>
    </row>
    <row r="153" spans="1:22" ht="75" x14ac:dyDescent="0.3">
      <c r="A153" s="20">
        <v>19</v>
      </c>
      <c r="B153" s="20" t="s">
        <v>36</v>
      </c>
      <c r="C153" s="20"/>
      <c r="D153" s="25" t="s">
        <v>83</v>
      </c>
      <c r="E153" s="22"/>
      <c r="F153" s="23">
        <v>8</v>
      </c>
      <c r="G153" s="23" t="s">
        <v>16</v>
      </c>
      <c r="H153" s="24"/>
      <c r="I153" s="29">
        <v>3100</v>
      </c>
      <c r="J153" s="29">
        <f>F153*I153</f>
        <v>24800</v>
      </c>
      <c r="L153" s="35"/>
      <c r="M153" s="35"/>
      <c r="N153" s="35"/>
      <c r="P153" s="29"/>
      <c r="Q153" s="29"/>
      <c r="R153" s="29"/>
      <c r="T153" s="29"/>
      <c r="U153" s="29"/>
      <c r="V153" s="29"/>
    </row>
    <row r="154" spans="1:22" x14ac:dyDescent="0.3">
      <c r="A154" s="38"/>
      <c r="B154" s="38"/>
      <c r="C154" s="9"/>
      <c r="D154" s="12"/>
      <c r="E154" s="14" t="s">
        <v>41</v>
      </c>
      <c r="F154" s="15">
        <f>F153</f>
        <v>8</v>
      </c>
      <c r="G154" s="15" t="s">
        <v>16</v>
      </c>
      <c r="H154" s="16">
        <v>0.3</v>
      </c>
      <c r="I154" s="30">
        <f>H154*$I$153</f>
        <v>930</v>
      </c>
      <c r="J154" s="30">
        <f>F154*I154</f>
        <v>7440</v>
      </c>
      <c r="L154" s="36"/>
      <c r="M154" s="37"/>
      <c r="N154" s="36"/>
      <c r="P154" s="30"/>
      <c r="Q154" s="32"/>
      <c r="R154" s="30"/>
      <c r="T154" s="30"/>
      <c r="U154" s="30"/>
      <c r="V154" s="30"/>
    </row>
    <row r="155" spans="1:22" x14ac:dyDescent="0.3">
      <c r="A155" s="38"/>
      <c r="B155" s="38"/>
      <c r="C155" s="9"/>
      <c r="D155" s="12"/>
      <c r="E155" s="14" t="s">
        <v>72</v>
      </c>
      <c r="F155" s="15">
        <f>F154</f>
        <v>8</v>
      </c>
      <c r="G155" s="15" t="s">
        <v>16</v>
      </c>
      <c r="H155" s="16">
        <v>0.2</v>
      </c>
      <c r="I155" s="30">
        <f>H155*$I$153</f>
        <v>620</v>
      </c>
      <c r="J155" s="30">
        <f t="shared" ref="J155:J156" si="48">F155*I155</f>
        <v>4960</v>
      </c>
      <c r="L155" s="36"/>
      <c r="M155" s="37"/>
      <c r="N155" s="36"/>
      <c r="P155" s="30"/>
      <c r="Q155" s="32"/>
      <c r="R155" s="30"/>
      <c r="T155" s="30"/>
      <c r="U155" s="30"/>
      <c r="V155" s="30"/>
    </row>
    <row r="156" spans="1:22" x14ac:dyDescent="0.3">
      <c r="A156" s="39"/>
      <c r="B156" s="39"/>
      <c r="C156" s="6"/>
      <c r="D156" s="13"/>
      <c r="E156" s="14" t="s">
        <v>64</v>
      </c>
      <c r="F156" s="15">
        <f>F155</f>
        <v>8</v>
      </c>
      <c r="G156" s="15" t="s">
        <v>16</v>
      </c>
      <c r="H156" s="16">
        <v>0.5</v>
      </c>
      <c r="I156" s="30">
        <f>H156*$I$153</f>
        <v>1550</v>
      </c>
      <c r="J156" s="30">
        <f t="shared" si="48"/>
        <v>12400</v>
      </c>
      <c r="L156" s="36"/>
      <c r="M156" s="37"/>
      <c r="N156" s="36"/>
      <c r="P156" s="30"/>
      <c r="Q156" s="32"/>
      <c r="R156" s="30"/>
      <c r="T156" s="30"/>
      <c r="U156" s="30"/>
      <c r="V156" s="30"/>
    </row>
    <row r="157" spans="1:22" ht="75" x14ac:dyDescent="0.3">
      <c r="A157" s="20">
        <v>20</v>
      </c>
      <c r="B157" s="20" t="s">
        <v>36</v>
      </c>
      <c r="C157" s="20"/>
      <c r="D157" s="25" t="s">
        <v>84</v>
      </c>
      <c r="E157" s="22"/>
      <c r="F157" s="23">
        <v>1</v>
      </c>
      <c r="G157" s="23" t="s">
        <v>16</v>
      </c>
      <c r="H157" s="24"/>
      <c r="I157" s="29">
        <v>3500</v>
      </c>
      <c r="J157" s="29">
        <f>F157*I157</f>
        <v>3500</v>
      </c>
      <c r="L157" s="35"/>
      <c r="M157" s="35"/>
      <c r="N157" s="35"/>
      <c r="P157" s="29"/>
      <c r="Q157" s="29"/>
      <c r="R157" s="29"/>
      <c r="T157" s="29"/>
      <c r="U157" s="29"/>
      <c r="V157" s="29"/>
    </row>
    <row r="158" spans="1:22" x14ac:dyDescent="0.3">
      <c r="A158" s="38"/>
      <c r="B158" s="38"/>
      <c r="C158" s="9"/>
      <c r="D158" s="12"/>
      <c r="E158" s="14" t="s">
        <v>41</v>
      </c>
      <c r="F158" s="15">
        <f>F157</f>
        <v>1</v>
      </c>
      <c r="G158" s="15" t="s">
        <v>16</v>
      </c>
      <c r="H158" s="16">
        <v>0.3</v>
      </c>
      <c r="I158" s="30">
        <f>H158*$I$157</f>
        <v>1050</v>
      </c>
      <c r="J158" s="30">
        <f>F158*I158</f>
        <v>1050</v>
      </c>
      <c r="L158" s="36"/>
      <c r="M158" s="37"/>
      <c r="N158" s="36"/>
      <c r="P158" s="30"/>
      <c r="Q158" s="32"/>
      <c r="R158" s="30"/>
      <c r="T158" s="30"/>
      <c r="U158" s="30"/>
      <c r="V158" s="30"/>
    </row>
    <row r="159" spans="1:22" x14ac:dyDescent="0.3">
      <c r="A159" s="38"/>
      <c r="B159" s="38"/>
      <c r="C159" s="9"/>
      <c r="D159" s="12"/>
      <c r="E159" s="14" t="s">
        <v>72</v>
      </c>
      <c r="F159" s="15">
        <f>F158</f>
        <v>1</v>
      </c>
      <c r="G159" s="15" t="s">
        <v>16</v>
      </c>
      <c r="H159" s="16">
        <v>0.2</v>
      </c>
      <c r="I159" s="30">
        <f>H159*$I$157</f>
        <v>700</v>
      </c>
      <c r="J159" s="30">
        <f t="shared" ref="J159:J160" si="49">F159*I159</f>
        <v>700</v>
      </c>
      <c r="L159" s="36"/>
      <c r="M159" s="37"/>
      <c r="N159" s="36"/>
      <c r="P159" s="30"/>
      <c r="Q159" s="32"/>
      <c r="R159" s="30"/>
      <c r="T159" s="30"/>
      <c r="U159" s="30"/>
      <c r="V159" s="30"/>
    </row>
    <row r="160" spans="1:22" x14ac:dyDescent="0.3">
      <c r="A160" s="39"/>
      <c r="B160" s="39"/>
      <c r="C160" s="6"/>
      <c r="D160" s="13"/>
      <c r="E160" s="14" t="s">
        <v>64</v>
      </c>
      <c r="F160" s="15">
        <f>F159</f>
        <v>1</v>
      </c>
      <c r="G160" s="15" t="s">
        <v>16</v>
      </c>
      <c r="H160" s="16">
        <v>0.5</v>
      </c>
      <c r="I160" s="30">
        <f>H160*$I$157</f>
        <v>1750</v>
      </c>
      <c r="J160" s="30">
        <f t="shared" si="49"/>
        <v>1750</v>
      </c>
      <c r="L160" s="36"/>
      <c r="M160" s="37"/>
      <c r="N160" s="36"/>
      <c r="P160" s="30"/>
      <c r="Q160" s="32"/>
      <c r="R160" s="30"/>
      <c r="T160" s="30"/>
      <c r="U160" s="30"/>
      <c r="V160" s="30"/>
    </row>
    <row r="162" spans="10:22" x14ac:dyDescent="0.3">
      <c r="J162" s="31">
        <f>J3+J11+J20+J28+J35+J36+J39+J42+J45+J48+J50+J56+J62+J69+J75+J78+J86+J93+J99+J105+J109+J113+J117+J121+J125+J129+J133+J137+J141+J145+J149+J157+J153</f>
        <v>420250</v>
      </c>
      <c r="T162" s="31">
        <f t="shared" ref="T162:V162" si="50">T3+T11+T20+T28+T35+T36+T39+T42+T45+T48+T50+T56+T62+T69+T75+T78+T86+T93+T99+T105+T109+T113+T117+T121+T125+T129+T133+T137+T141+T145+T149+T157+T153</f>
        <v>23490</v>
      </c>
      <c r="U162" s="31">
        <f t="shared" si="50"/>
        <v>6652.7999999999993</v>
      </c>
      <c r="V162" s="31">
        <f t="shared" si="50"/>
        <v>20833.2</v>
      </c>
    </row>
  </sheetData>
  <autoFilter ref="A1:V160" xr:uid="{DF7E5A8F-6B35-4F05-A5B1-D732E558F182}"/>
  <mergeCells count="54">
    <mergeCell ref="A154:A156"/>
    <mergeCell ref="B154:B156"/>
    <mergeCell ref="A158:A160"/>
    <mergeCell ref="B158:B160"/>
    <mergeCell ref="A142:A144"/>
    <mergeCell ref="B142:B144"/>
    <mergeCell ref="A146:A148"/>
    <mergeCell ref="B146:B148"/>
    <mergeCell ref="A150:A152"/>
    <mergeCell ref="B150:B152"/>
    <mergeCell ref="A130:A132"/>
    <mergeCell ref="B130:B132"/>
    <mergeCell ref="A134:A136"/>
    <mergeCell ref="B134:B136"/>
    <mergeCell ref="A138:A140"/>
    <mergeCell ref="B138:B140"/>
    <mergeCell ref="A118:A120"/>
    <mergeCell ref="B118:B120"/>
    <mergeCell ref="A122:A124"/>
    <mergeCell ref="B122:B124"/>
    <mergeCell ref="A126:A128"/>
    <mergeCell ref="B126:B128"/>
    <mergeCell ref="A106:A108"/>
    <mergeCell ref="B106:B108"/>
    <mergeCell ref="A110:A112"/>
    <mergeCell ref="B110:B112"/>
    <mergeCell ref="A114:A116"/>
    <mergeCell ref="B114:B116"/>
    <mergeCell ref="D92:J92"/>
    <mergeCell ref="A94:A97"/>
    <mergeCell ref="B94:B97"/>
    <mergeCell ref="D98:J98"/>
    <mergeCell ref="A100:A104"/>
    <mergeCell ref="B100:B104"/>
    <mergeCell ref="A76:A77"/>
    <mergeCell ref="B76:B77"/>
    <mergeCell ref="A79:A85"/>
    <mergeCell ref="B79:B85"/>
    <mergeCell ref="A87:A91"/>
    <mergeCell ref="B87:B91"/>
    <mergeCell ref="A70:A74"/>
    <mergeCell ref="B70:B74"/>
    <mergeCell ref="D2:J2"/>
    <mergeCell ref="A4:A10"/>
    <mergeCell ref="B4:B10"/>
    <mergeCell ref="A12:A19"/>
    <mergeCell ref="B12:B19"/>
    <mergeCell ref="A21:A27"/>
    <mergeCell ref="B21:B27"/>
    <mergeCell ref="A29:A33"/>
    <mergeCell ref="B29:B33"/>
    <mergeCell ref="D34:J34"/>
    <mergeCell ref="D49:J49"/>
    <mergeCell ref="D68:J68"/>
  </mergeCells>
  <pageMargins left="0.7" right="0.7" top="0.75" bottom="0.75" header="0.3" footer="0.3"/>
  <pageSetup paperSize="9" scale="61" orientation="portrait" horizontalDpi="4294967293" verticalDpi="4294967293" r:id="rId1"/>
  <rowBreaks count="2" manualBreakCount="2">
    <brk id="48" max="16383" man="1"/>
    <brk id="104" max="16" man="1"/>
  </rowBreaks>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Scope with Sub Task</vt:lpstr>
      <vt:lpstr>Daily Progress w Pic Report</vt:lpstr>
      <vt:lpstr>Work Progress Report</vt:lpstr>
      <vt:lpstr>'Daily Progress w Pic Report'!Print_Area</vt:lpstr>
      <vt:lpstr>'Scope with Sub Task'!Print_Area</vt:lpstr>
      <vt:lpstr>'Work Progress 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 S Aggarwal</dc:creator>
  <cp:lastModifiedBy>Sumeet S Aggarwal</cp:lastModifiedBy>
  <cp:lastPrinted>2026-06-23T11:16:38Z</cp:lastPrinted>
  <dcterms:created xsi:type="dcterms:W3CDTF">2026-06-23T11:03:03Z</dcterms:created>
  <dcterms:modified xsi:type="dcterms:W3CDTF">2026-06-24T05:24:42Z</dcterms:modified>
</cp:coreProperties>
</file>